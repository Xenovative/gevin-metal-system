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"/>
    </mc:Choice>
  </mc:AlternateContent>
  <xr:revisionPtr revIDLastSave="0" documentId="13_ncr:1_{617ACDC0-6955-44F5-BCF7-97D101452603}" xr6:coauthVersionLast="47" xr6:coauthVersionMax="47" xr10:uidLastSave="{00000000-0000-0000-0000-000000000000}"/>
  <bookViews>
    <workbookView xWindow="-120" yWindow="-120" windowWidth="29040" windowHeight="15720" tabRatio="693" activeTab="2" xr2:uid="{C6896D21-845D-47B4-AC7E-59755A1F14E5}"/>
  </bookViews>
  <sheets>
    <sheet name="銷售(保護) (2)" sheetId="24" r:id="rId1"/>
    <sheet name="銷售(保護)" sheetId="23" r:id="rId2"/>
    <sheet name="購入單(保護)" sheetId="12" r:id="rId3"/>
    <sheet name="兌料單(保護)" sheetId="11" r:id="rId4"/>
    <sheet name="交收單(保護)收料" sheetId="13" r:id="rId5"/>
    <sheet name="交收單(保護)去料" sheetId="14" r:id="rId6"/>
    <sheet name="交收單(保護)去料 (2)" sheetId="19" r:id="rId7"/>
    <sheet name="交收單(保護)回料" sheetId="15" r:id="rId8"/>
    <sheet name="交收單(保護)回料 (2)" sheetId="20" r:id="rId9"/>
    <sheet name="提純後向客兌料單(保護) " sheetId="16" r:id="rId10"/>
    <sheet name="提純後向客兌料單(保護)  (2)" sheetId="18" r:id="rId11"/>
    <sheet name="兌料單(保護)2" sheetId="2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24" l="1"/>
  <c r="L23" i="23"/>
</calcChain>
</file>

<file path=xl/sharedStrings.xml><?xml version="1.0" encoding="utf-8"?>
<sst xmlns="http://schemas.openxmlformats.org/spreadsheetml/2006/main" count="877" uniqueCount="93">
  <si>
    <t>貨品</t>
    <phoneticPr fontId="2" type="noConversion"/>
  </si>
  <si>
    <t>重量</t>
    <phoneticPr fontId="2" type="noConversion"/>
  </si>
  <si>
    <t>單價</t>
    <phoneticPr fontId="2" type="noConversion"/>
  </si>
  <si>
    <t>足金</t>
    <phoneticPr fontId="2" type="noConversion"/>
  </si>
  <si>
    <t>飾金</t>
    <phoneticPr fontId="2" type="noConversion"/>
  </si>
  <si>
    <t>雜金</t>
    <phoneticPr fontId="2" type="noConversion"/>
  </si>
  <si>
    <t>K金</t>
    <phoneticPr fontId="2" type="noConversion"/>
  </si>
  <si>
    <t>其他</t>
    <phoneticPr fontId="2" type="noConversion"/>
  </si>
  <si>
    <t>存/取</t>
    <phoneticPr fontId="2" type="noConversion"/>
  </si>
  <si>
    <t>備註：</t>
    <phoneticPr fontId="2" type="noConversion"/>
  </si>
  <si>
    <t>Item</t>
    <phoneticPr fontId="2" type="noConversion"/>
  </si>
  <si>
    <t>Gross</t>
    <phoneticPr fontId="2" type="noConversion"/>
  </si>
  <si>
    <t>Stock</t>
    <phoneticPr fontId="2" type="noConversion"/>
  </si>
  <si>
    <t>庫存</t>
    <phoneticPr fontId="2" type="noConversion"/>
  </si>
  <si>
    <t>Unit ($)</t>
    <phoneticPr fontId="2" type="noConversion"/>
  </si>
  <si>
    <t xml:space="preserve">金額 </t>
    <phoneticPr fontId="2" type="noConversion"/>
  </si>
  <si>
    <t>Amount</t>
    <phoneticPr fontId="2" type="noConversion"/>
  </si>
  <si>
    <t xml:space="preserve">合計 Total : </t>
    <phoneticPr fontId="2" type="noConversion"/>
  </si>
  <si>
    <t>客戶 Customer :</t>
    <phoneticPr fontId="2" type="noConversion"/>
  </si>
  <si>
    <t xml:space="preserve">Date : </t>
    <phoneticPr fontId="2" type="noConversion"/>
  </si>
  <si>
    <t>XXXXXX</t>
    <phoneticPr fontId="2" type="noConversion"/>
  </si>
  <si>
    <t>客單</t>
    <phoneticPr fontId="2" type="noConversion"/>
  </si>
  <si>
    <t>公司單</t>
    <phoneticPr fontId="2" type="noConversion"/>
  </si>
  <si>
    <t>成色</t>
    <phoneticPr fontId="2" type="noConversion"/>
  </si>
  <si>
    <t xml:space="preserve">Quality </t>
    <phoneticPr fontId="2" type="noConversion"/>
  </si>
  <si>
    <t>24K</t>
    <phoneticPr fontId="2" type="noConversion"/>
  </si>
  <si>
    <t>18K</t>
    <phoneticPr fontId="2" type="noConversion"/>
  </si>
  <si>
    <t>Date :</t>
    <phoneticPr fontId="2" type="noConversion"/>
  </si>
  <si>
    <t>XXXXX</t>
    <phoneticPr fontId="2" type="noConversion"/>
  </si>
  <si>
    <t xml:space="preserve">對換  (Exchange) </t>
    <phoneticPr fontId="2" type="noConversion"/>
  </si>
  <si>
    <t>存</t>
    <phoneticPr fontId="2" type="noConversion"/>
  </si>
  <si>
    <t>取</t>
    <phoneticPr fontId="2" type="noConversion"/>
  </si>
  <si>
    <t>XXX</t>
    <phoneticPr fontId="2" type="noConversion"/>
  </si>
  <si>
    <t>交收單 Delivery Note</t>
    <phoneticPr fontId="2" type="noConversion"/>
  </si>
  <si>
    <t>付款方式 Payment Method :</t>
    <phoneticPr fontId="2" type="noConversion"/>
  </si>
  <si>
    <t>客戶簽收 Issued to customer</t>
    <phoneticPr fontId="2" type="noConversion"/>
  </si>
  <si>
    <t>經手人Handled by :</t>
    <phoneticPr fontId="2" type="noConversion"/>
  </si>
  <si>
    <t>現金 Cash</t>
    <phoneticPr fontId="2" type="noConversion"/>
  </si>
  <si>
    <t>補水費/加工費/訂金</t>
    <phoneticPr fontId="2" type="noConversion"/>
  </si>
  <si>
    <t xml:space="preserve">銷售單 Sales Invoice </t>
  </si>
  <si>
    <t>Invoice No. S26060001</t>
  </si>
  <si>
    <t>公司倉/</t>
    <phoneticPr fontId="2" type="noConversion"/>
  </si>
  <si>
    <t>入門倉/</t>
    <phoneticPr fontId="2" type="noConversion"/>
  </si>
  <si>
    <t>定單倉</t>
    <phoneticPr fontId="2" type="noConversion"/>
  </si>
  <si>
    <t>陳太</t>
    <phoneticPr fontId="2" type="noConversion"/>
  </si>
  <si>
    <t>足金 Pure Gold</t>
    <phoneticPr fontId="2" type="noConversion"/>
  </si>
  <si>
    <t>飾金 Gold Products</t>
    <phoneticPr fontId="2" type="noConversion"/>
  </si>
  <si>
    <t>雜金 Gold Accessories</t>
    <phoneticPr fontId="2" type="noConversion"/>
  </si>
  <si>
    <t>K金 Karat Gold</t>
    <phoneticPr fontId="2" type="noConversion"/>
  </si>
  <si>
    <t>純銀 Silver</t>
    <phoneticPr fontId="2" type="noConversion"/>
  </si>
  <si>
    <t>其他 Other</t>
    <phoneticPr fontId="2" type="noConversion"/>
  </si>
  <si>
    <t xml:space="preserve">克 Gram </t>
  </si>
  <si>
    <t xml:space="preserve">克 Gram </t>
    <phoneticPr fontId="2" type="noConversion"/>
  </si>
  <si>
    <t>両 Teal</t>
  </si>
  <si>
    <t>両 Teal</t>
    <phoneticPr fontId="2" type="noConversion"/>
  </si>
  <si>
    <t>XXXX</t>
    <phoneticPr fontId="2" type="noConversion"/>
  </si>
  <si>
    <t>X,XXX,XXX.XX</t>
    <phoneticPr fontId="2" type="noConversion"/>
  </si>
  <si>
    <t>購入單 Purchase Invoice</t>
    <phoneticPr fontId="2" type="noConversion"/>
  </si>
  <si>
    <t>Invoice No. P26060001</t>
    <phoneticPr fontId="2" type="noConversion"/>
  </si>
  <si>
    <t>兌料單 Trade-In Invoice</t>
    <phoneticPr fontId="2" type="noConversion"/>
  </si>
  <si>
    <t>Invoice No. T26060001</t>
    <phoneticPr fontId="2" type="noConversion"/>
  </si>
  <si>
    <t>(金價)</t>
  </si>
  <si>
    <t>(金價)</t>
    <phoneticPr fontId="2" type="noConversion"/>
  </si>
  <si>
    <t>訂單倉</t>
    <phoneticPr fontId="2" type="noConversion"/>
  </si>
  <si>
    <t>公司倉/入門倉</t>
    <phoneticPr fontId="2" type="noConversion"/>
  </si>
  <si>
    <t>18K</t>
  </si>
  <si>
    <t>XXXXXX</t>
  </si>
  <si>
    <t>備註：</t>
  </si>
  <si>
    <t>24k</t>
    <phoneticPr fontId="2" type="noConversion"/>
  </si>
  <si>
    <t>編號 No.D260600001</t>
    <phoneticPr fontId="2" type="noConversion"/>
  </si>
  <si>
    <t>編號 No.D260600002</t>
    <phoneticPr fontId="2" type="noConversion"/>
  </si>
  <si>
    <t>D26060001 提純後回料</t>
    <phoneticPr fontId="2" type="noConversion"/>
  </si>
  <si>
    <t>代提純後待定回料量</t>
    <phoneticPr fontId="2" type="noConversion"/>
  </si>
  <si>
    <t>/訂單倉</t>
  </si>
  <si>
    <t>美泰樂</t>
    <phoneticPr fontId="2" type="noConversion"/>
  </si>
  <si>
    <t>尾數</t>
    <phoneticPr fontId="2" type="noConversion"/>
  </si>
  <si>
    <t>加工費</t>
    <phoneticPr fontId="2" type="noConversion"/>
  </si>
  <si>
    <t>Invoice No. T26060002</t>
    <phoneticPr fontId="2" type="noConversion"/>
  </si>
  <si>
    <t>Invoice No. T26060003</t>
    <phoneticPr fontId="2" type="noConversion"/>
  </si>
  <si>
    <t>500/498/480</t>
    <phoneticPr fontId="2" type="noConversion"/>
  </si>
  <si>
    <t>13.359/…….</t>
    <phoneticPr fontId="2" type="noConversion"/>
  </si>
  <si>
    <t>編號 No.D260600003</t>
    <phoneticPr fontId="2" type="noConversion"/>
  </si>
  <si>
    <t>D26060001 待提純後回料</t>
    <phoneticPr fontId="2" type="noConversion"/>
  </si>
  <si>
    <t>按資料</t>
    <phoneticPr fontId="2" type="noConversion"/>
  </si>
  <si>
    <t>入門倉</t>
    <phoneticPr fontId="2" type="noConversion"/>
  </si>
  <si>
    <t>編號 No.D260600005</t>
    <phoneticPr fontId="2" type="noConversion"/>
  </si>
  <si>
    <t>編號 No.D260600006</t>
    <phoneticPr fontId="2" type="noConversion"/>
  </si>
  <si>
    <t>公司倉</t>
    <phoneticPr fontId="2" type="noConversion"/>
  </si>
  <si>
    <t>D26060005 回料</t>
    <phoneticPr fontId="2" type="noConversion"/>
  </si>
  <si>
    <t>好月色</t>
    <phoneticPr fontId="2" type="noConversion"/>
  </si>
  <si>
    <t>代提純費</t>
    <phoneticPr fontId="2" type="noConversion"/>
  </si>
  <si>
    <t>補水 D260600001</t>
    <phoneticPr fontId="2" type="noConversion"/>
  </si>
  <si>
    <t>顏先生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</si>
</sst>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_(* #,##0_);_(* \(#,##0\);_(* &quot;-&quot;??_);_(@_)"/>
  </numFmts>
  <fonts count="20" x14ac:knownFonts="1">
    <font>
      <sz val="12"/>
      <color theme="1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b/>
      <sz val="9"/>
      <color rgb="FFFF0000"/>
      <name val="新細明體"/>
      <family val="1"/>
      <charset val="136"/>
      <scheme val="minor"/>
    </font>
    <font>
      <sz val="12"/>
      <color rgb="FFED0000"/>
      <name val="新細明體"/>
      <family val="2"/>
      <charset val="136"/>
      <scheme val="minor"/>
    </font>
    <font>
      <sz val="10"/>
      <color rgb="FFFF0000"/>
      <name val="新細明體"/>
      <family val="2"/>
      <charset val="136"/>
      <scheme val="minor"/>
    </font>
    <font>
      <sz val="10"/>
      <color theme="1"/>
      <name val="新細明體"/>
      <family val="1"/>
      <charset val="136"/>
      <scheme val="minor"/>
    </font>
    <font>
      <sz val="10"/>
      <color rgb="FFFF0000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14"/>
      <color theme="1"/>
      <name val="新細明體"/>
      <family val="1"/>
      <charset val="136"/>
      <scheme val="minor"/>
    </font>
    <font>
      <sz val="9"/>
      <color rgb="FFFF0000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9"/>
      <color rgb="FFED0000"/>
      <name val="新細明體"/>
      <family val="1"/>
      <charset val="136"/>
      <scheme val="minor"/>
    </font>
    <font>
      <sz val="9"/>
      <color rgb="FFFF0000"/>
      <name val="新細明體"/>
      <family val="2"/>
      <charset val="136"/>
      <scheme val="minor"/>
    </font>
    <font>
      <sz val="9"/>
      <color theme="1"/>
      <name val="新細明體"/>
      <family val="2"/>
      <charset val="136"/>
      <scheme val="minor"/>
    </font>
    <font>
      <sz val="8"/>
      <color theme="1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4" xfId="0" applyBorder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3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0" fillId="0" borderId="6" xfId="0" applyFont="1" applyBorder="1" applyAlignment="1">
      <alignment horizontal="center" vertical="center"/>
    </xf>
    <xf numFmtId="0" fontId="0" fillId="0" borderId="6" xfId="0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17" fillId="0" borderId="1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12" xfId="0" applyBorder="1" applyAlignment="1">
      <alignment horizontal="center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10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3" fillId="0" borderId="0" xfId="0" applyFont="1">
      <alignment vertical="center"/>
    </xf>
    <xf numFmtId="0" fontId="0" fillId="2" borderId="0" xfId="0" applyFill="1">
      <alignment vertical="center"/>
    </xf>
    <xf numFmtId="43" fontId="14" fillId="0" borderId="0" xfId="1" applyFont="1" applyBorder="1" applyAlignment="1">
      <alignment horizontal="right" vertical="center"/>
    </xf>
    <xf numFmtId="176" fontId="14" fillId="0" borderId="0" xfId="1" applyNumberFormat="1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435A5-A977-42FF-A671-70B76D5E11DA}">
  <dimension ref="A1:L56"/>
  <sheetViews>
    <sheetView topLeftCell="A29" workbookViewId="0">
      <selection activeCell="K34" sqref="K34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21">
        <v>20</v>
      </c>
    </row>
    <row r="4" spans="2:11" ht="21.75" customHeight="1" x14ac:dyDescent="0.25">
      <c r="J4" s="23" t="s">
        <v>39</v>
      </c>
      <c r="K4">
        <v>29</v>
      </c>
    </row>
    <row r="5" spans="2:11" x14ac:dyDescent="0.25">
      <c r="J5" s="24" t="s">
        <v>40</v>
      </c>
      <c r="K5">
        <v>22</v>
      </c>
    </row>
    <row r="6" spans="2:11" x14ac:dyDescent="0.25">
      <c r="C6" s="4"/>
      <c r="D6" s="4"/>
      <c r="F6" s="20" t="s">
        <v>44</v>
      </c>
      <c r="I6" s="11"/>
      <c r="J6" s="52">
        <v>46175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/>
      <c r="D8" s="2"/>
      <c r="E8" s="2"/>
      <c r="F8" s="61"/>
      <c r="G8" s="61"/>
      <c r="H8" s="2"/>
      <c r="I8" s="43"/>
      <c r="J8" s="12"/>
      <c r="K8">
        <v>24</v>
      </c>
    </row>
    <row r="9" spans="2:11" ht="18.75" customHeight="1" x14ac:dyDescent="0.25">
      <c r="B9" s="44"/>
      <c r="C9" s="3"/>
      <c r="D9" s="3"/>
      <c r="E9" s="3"/>
      <c r="F9" s="62"/>
      <c r="G9" s="62"/>
      <c r="H9" s="3"/>
      <c r="I9" s="45"/>
      <c r="J9" s="13"/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45</v>
      </c>
      <c r="E11" s="28" t="s">
        <v>26</v>
      </c>
      <c r="F11" s="29" t="s">
        <v>32</v>
      </c>
      <c r="G11" s="46" t="s">
        <v>52</v>
      </c>
      <c r="H11" s="28"/>
      <c r="I11" s="28" t="s">
        <v>20</v>
      </c>
      <c r="J11" s="51" t="s">
        <v>56</v>
      </c>
      <c r="K11">
        <v>22</v>
      </c>
    </row>
    <row r="12" spans="2:11" x14ac:dyDescent="0.25">
      <c r="B12" s="8"/>
      <c r="C12" s="30" t="s">
        <v>46</v>
      </c>
      <c r="E12" s="28" t="s">
        <v>25</v>
      </c>
      <c r="F12" s="29" t="s">
        <v>32</v>
      </c>
      <c r="G12" s="46" t="s">
        <v>54</v>
      </c>
      <c r="H12" s="28"/>
      <c r="I12" s="28"/>
      <c r="J12" s="31"/>
      <c r="K12">
        <v>22</v>
      </c>
    </row>
    <row r="13" spans="2:11" x14ac:dyDescent="0.25">
      <c r="B13" s="8"/>
      <c r="C13" s="30" t="s">
        <v>47</v>
      </c>
      <c r="E13" s="28" t="s">
        <v>7</v>
      </c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 s="30" t="s">
        <v>48</v>
      </c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 t="s">
        <v>49</v>
      </c>
      <c r="D15" s="28"/>
      <c r="E15" s="28"/>
      <c r="F15" s="28"/>
      <c r="G15" s="28"/>
      <c r="H15" s="28"/>
      <c r="I15" s="28"/>
      <c r="J15" s="31"/>
      <c r="K15">
        <v>22</v>
      </c>
    </row>
    <row r="16" spans="2:11" x14ac:dyDescent="0.25">
      <c r="B16" s="8"/>
      <c r="C16" s="30" t="s">
        <v>50</v>
      </c>
      <c r="D16" s="32"/>
      <c r="E16" s="32"/>
      <c r="F16" s="29"/>
      <c r="G16" s="28"/>
      <c r="H16" s="28"/>
      <c r="I16" s="28"/>
      <c r="J16" s="31"/>
      <c r="K16">
        <v>22</v>
      </c>
    </row>
    <row r="17" spans="1:12" x14ac:dyDescent="0.25">
      <c r="B17" s="8"/>
      <c r="C17" s="47"/>
      <c r="D17" s="32"/>
      <c r="E17" s="32"/>
      <c r="F17" s="33"/>
      <c r="G17" s="34"/>
      <c r="H17" s="32"/>
      <c r="I17" s="32"/>
      <c r="J17" s="35"/>
      <c r="K17">
        <v>22</v>
      </c>
    </row>
    <row r="18" spans="1:12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2" x14ac:dyDescent="0.25">
      <c r="B19" s="8"/>
      <c r="D19" s="9" t="s">
        <v>38</v>
      </c>
      <c r="E19" s="48"/>
      <c r="F19" s="32"/>
      <c r="G19" s="32"/>
      <c r="H19" s="32"/>
      <c r="I19" s="32"/>
      <c r="J19" s="36" t="s">
        <v>28</v>
      </c>
      <c r="K19">
        <v>22</v>
      </c>
    </row>
    <row r="20" spans="1:12" x14ac:dyDescent="0.25">
      <c r="B20" s="8"/>
      <c r="D20" s="20" t="s">
        <v>7</v>
      </c>
      <c r="E20" s="30"/>
      <c r="F20" s="32"/>
      <c r="G20" s="32"/>
      <c r="H20" s="32"/>
      <c r="I20" s="32"/>
      <c r="J20" s="35"/>
      <c r="K20">
        <v>22</v>
      </c>
    </row>
    <row r="21" spans="1:12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2" ht="30" customHeight="1" x14ac:dyDescent="0.25">
      <c r="H22"/>
      <c r="I22" s="40"/>
      <c r="J22" s="41" t="s">
        <v>56</v>
      </c>
      <c r="K22">
        <v>40</v>
      </c>
    </row>
    <row r="23" spans="1:12" ht="9.75" customHeight="1" x14ac:dyDescent="0.25">
      <c r="K23" s="54">
        <v>13</v>
      </c>
      <c r="L23">
        <f>SUM(K23:K27)</f>
        <v>93</v>
      </c>
    </row>
    <row r="24" spans="1:12" ht="18" customHeight="1" x14ac:dyDescent="0.25">
      <c r="C24" s="18"/>
      <c r="D24" s="16"/>
      <c r="F24" s="19"/>
      <c r="G24" s="16"/>
      <c r="H24" s="18"/>
      <c r="J24" s="6"/>
      <c r="K24" s="54">
        <v>24</v>
      </c>
    </row>
    <row r="25" spans="1:12" ht="26.25" customHeight="1" x14ac:dyDescent="0.25">
      <c r="C25" s="5" t="s">
        <v>37</v>
      </c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2" ht="9.75" customHeight="1" x14ac:dyDescent="0.25">
      <c r="D26" s="16"/>
      <c r="E26" s="16"/>
      <c r="G26" s="16"/>
      <c r="H26" s="16"/>
      <c r="I26" s="16"/>
      <c r="J26" s="16"/>
      <c r="K26" s="54">
        <v>13</v>
      </c>
    </row>
    <row r="27" spans="1:12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2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2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2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2" ht="23.25" customHeight="1" x14ac:dyDescent="0.25">
      <c r="J31" s="23" t="s">
        <v>39</v>
      </c>
      <c r="K31">
        <v>31</v>
      </c>
    </row>
    <row r="32" spans="1:12" ht="18" customHeight="1" x14ac:dyDescent="0.25">
      <c r="J32" s="24" t="s">
        <v>40</v>
      </c>
      <c r="K32">
        <v>24</v>
      </c>
    </row>
    <row r="33" spans="2:11" ht="17.25" customHeight="1" x14ac:dyDescent="0.25">
      <c r="C33" s="4"/>
      <c r="F33" s="20" t="s">
        <v>44</v>
      </c>
      <c r="I33" s="15"/>
      <c r="J33" s="52">
        <v>46175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/>
      <c r="D35" s="2"/>
      <c r="E35" s="2"/>
      <c r="F35" s="61"/>
      <c r="G35" s="61"/>
      <c r="H35" s="2"/>
      <c r="I35" s="43"/>
      <c r="J35" s="12"/>
      <c r="K35">
        <v>24</v>
      </c>
    </row>
    <row r="36" spans="2:11" ht="18" customHeight="1" x14ac:dyDescent="0.25">
      <c r="B36" s="44"/>
      <c r="C36" s="3"/>
      <c r="D36" s="3"/>
      <c r="E36" s="3"/>
      <c r="F36" s="62"/>
      <c r="G36" s="62"/>
      <c r="H36" s="3"/>
      <c r="I36" s="45"/>
      <c r="J36" s="13"/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45</v>
      </c>
      <c r="E38" s="28" t="s">
        <v>26</v>
      </c>
      <c r="F38" s="29" t="s">
        <v>32</v>
      </c>
      <c r="G38" s="46" t="s">
        <v>52</v>
      </c>
      <c r="H38" s="28" t="s">
        <v>8</v>
      </c>
      <c r="I38" s="28" t="s">
        <v>20</v>
      </c>
      <c r="J38" s="31" t="s">
        <v>20</v>
      </c>
      <c r="K38">
        <v>22</v>
      </c>
    </row>
    <row r="39" spans="2:11" x14ac:dyDescent="0.25">
      <c r="B39" s="8"/>
      <c r="C39" s="30" t="s">
        <v>46</v>
      </c>
      <c r="E39" s="28" t="s">
        <v>25</v>
      </c>
      <c r="F39" s="29" t="s">
        <v>32</v>
      </c>
      <c r="G39" s="46" t="s">
        <v>54</v>
      </c>
      <c r="H39" s="28" t="s">
        <v>41</v>
      </c>
      <c r="I39" s="28"/>
      <c r="J39" s="31"/>
      <c r="K39">
        <v>22</v>
      </c>
    </row>
    <row r="40" spans="2:11" x14ac:dyDescent="0.25">
      <c r="B40" s="8"/>
      <c r="C40" s="30" t="s">
        <v>47</v>
      </c>
      <c r="E40" s="28" t="s">
        <v>7</v>
      </c>
      <c r="F40" s="28"/>
      <c r="G40" s="28"/>
      <c r="H40" s="28" t="s">
        <v>42</v>
      </c>
      <c r="I40" s="28"/>
      <c r="J40" s="31"/>
      <c r="K40">
        <v>22</v>
      </c>
    </row>
    <row r="41" spans="2:11" x14ac:dyDescent="0.25">
      <c r="B41" s="8"/>
      <c r="C41" s="30" t="s">
        <v>48</v>
      </c>
      <c r="D41" s="28"/>
      <c r="E41" s="28"/>
      <c r="F41" s="28"/>
      <c r="G41" s="28"/>
      <c r="H41" s="28" t="s">
        <v>43</v>
      </c>
      <c r="I41" s="28"/>
      <c r="J41" s="31"/>
      <c r="K41">
        <v>22</v>
      </c>
    </row>
    <row r="42" spans="2:11" x14ac:dyDescent="0.25">
      <c r="B42" s="8"/>
      <c r="C42" s="30" t="s">
        <v>49</v>
      </c>
      <c r="D42" s="28"/>
      <c r="E42" s="28"/>
      <c r="F42" s="28"/>
      <c r="G42" s="28"/>
      <c r="H42" s="28"/>
      <c r="I42" s="28"/>
      <c r="J42" s="31"/>
      <c r="K42">
        <v>22</v>
      </c>
    </row>
    <row r="43" spans="2:11" x14ac:dyDescent="0.25">
      <c r="B43" s="8"/>
      <c r="C43" s="30" t="s">
        <v>50</v>
      </c>
      <c r="D43" s="32"/>
      <c r="E43" s="32"/>
      <c r="F43" s="29"/>
      <c r="G43" s="28"/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32"/>
      <c r="F44" s="33"/>
      <c r="G44" s="34"/>
      <c r="H44" s="32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D46" s="9" t="s">
        <v>38</v>
      </c>
      <c r="E46" s="48"/>
      <c r="F46" s="32"/>
      <c r="G46" s="32"/>
      <c r="H46" s="32"/>
      <c r="I46" s="32"/>
      <c r="J46" s="36" t="s">
        <v>28</v>
      </c>
      <c r="K46">
        <v>22</v>
      </c>
    </row>
    <row r="47" spans="2:11" x14ac:dyDescent="0.25">
      <c r="B47" s="8"/>
      <c r="D47" s="20" t="s">
        <v>7</v>
      </c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/>
      <c r="J49" s="41" t="s">
        <v>28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/>
      <c r="D51" s="16"/>
      <c r="F51" s="19"/>
      <c r="G51" s="16"/>
      <c r="H51" s="18"/>
      <c r="J51" s="6"/>
      <c r="K51">
        <v>21</v>
      </c>
    </row>
    <row r="52" spans="1:11" ht="18" customHeight="1" x14ac:dyDescent="0.25">
      <c r="C52" s="5" t="s">
        <v>37</v>
      </c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6" spans="1:11" s="58" customFormat="1" ht="11.25" x14ac:dyDescent="0.25">
      <c r="A56" s="58">
        <v>20</v>
      </c>
      <c r="B56" s="58">
        <v>17</v>
      </c>
      <c r="C56" s="59">
        <v>122</v>
      </c>
      <c r="D56" s="60">
        <v>10</v>
      </c>
      <c r="E56" s="59">
        <v>58</v>
      </c>
      <c r="F56" s="59">
        <v>104</v>
      </c>
      <c r="G56" s="59">
        <v>62</v>
      </c>
      <c r="H56" s="59">
        <v>93</v>
      </c>
      <c r="I56" s="59">
        <v>144</v>
      </c>
      <c r="J56" s="59">
        <v>153</v>
      </c>
    </row>
  </sheetData>
  <sheetProtection algorithmName="SHA-512" hashValue="YJmesrWJLJd6Ng34QUTXRx0H9YcWa2JT0hKxfxUdyecPvjYvltH78d4OJNwry/UhPf74umhEfoxP78zmIxNyzA==" saltValue="ZA2Rz82Tz3bUd494pPAGaQ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49F25-AB12-413F-BEB7-7AFE23A40954}">
  <dimension ref="A1:L56"/>
  <sheetViews>
    <sheetView topLeftCell="A29" workbookViewId="0">
      <selection activeCell="K34" sqref="K34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21">
        <v>20</v>
      </c>
    </row>
    <row r="4" spans="2:11" ht="21.75" customHeight="1" x14ac:dyDescent="0.25">
      <c r="J4" s="23" t="s">
        <v>39</v>
      </c>
      <c r="K4">
        <v>29</v>
      </c>
    </row>
    <row r="5" spans="2:11" x14ac:dyDescent="0.25">
      <c r="J5" s="24" t="s">
        <v>40</v>
      </c>
      <c r="K5">
        <v>22</v>
      </c>
    </row>
    <row r="6" spans="2:11" x14ac:dyDescent="0.25">
      <c r="C6" s="4" t="s">
        <v>18</v>
      </c>
      <c r="D6" s="4"/>
      <c r="F6" s="20" t="s">
        <v>44</v>
      </c>
      <c r="I6" s="11" t="s">
        <v>27</v>
      </c>
      <c r="J6" s="52">
        <v>46175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45</v>
      </c>
      <c r="E11" s="28" t="s">
        <v>26</v>
      </c>
      <c r="F11" s="29" t="s">
        <v>32</v>
      </c>
      <c r="G11" s="46" t="s">
        <v>52</v>
      </c>
      <c r="H11" s="28"/>
      <c r="I11" s="28" t="s">
        <v>20</v>
      </c>
      <c r="J11" s="51" t="s">
        <v>56</v>
      </c>
      <c r="K11">
        <v>22</v>
      </c>
    </row>
    <row r="12" spans="2:11" x14ac:dyDescent="0.25">
      <c r="B12" s="8"/>
      <c r="C12" s="30" t="s">
        <v>46</v>
      </c>
      <c r="E12" s="28" t="s">
        <v>25</v>
      </c>
      <c r="F12" s="29" t="s">
        <v>32</v>
      </c>
      <c r="G12" s="46" t="s">
        <v>54</v>
      </c>
      <c r="H12" s="28"/>
      <c r="I12" s="28"/>
      <c r="J12" s="31"/>
      <c r="K12">
        <v>22</v>
      </c>
    </row>
    <row r="13" spans="2:11" x14ac:dyDescent="0.25">
      <c r="B13" s="8"/>
      <c r="C13" s="30" t="s">
        <v>47</v>
      </c>
      <c r="E13" s="28" t="s">
        <v>7</v>
      </c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 s="30" t="s">
        <v>48</v>
      </c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 t="s">
        <v>49</v>
      </c>
      <c r="D15" s="28"/>
      <c r="E15" s="28"/>
      <c r="F15" s="28"/>
      <c r="G15" s="28"/>
      <c r="H15" s="28"/>
      <c r="I15" s="28"/>
      <c r="J15" s="31"/>
      <c r="K15">
        <v>22</v>
      </c>
    </row>
    <row r="16" spans="2:11" x14ac:dyDescent="0.25">
      <c r="B16" s="8"/>
      <c r="C16" s="30" t="s">
        <v>50</v>
      </c>
      <c r="D16" s="32"/>
      <c r="E16" s="32"/>
      <c r="F16" s="29"/>
      <c r="G16" s="28"/>
      <c r="H16" s="28"/>
      <c r="I16" s="28"/>
      <c r="J16" s="31"/>
      <c r="K16">
        <v>22</v>
      </c>
    </row>
    <row r="17" spans="1:12" x14ac:dyDescent="0.25">
      <c r="B17" s="8"/>
      <c r="C17" s="47"/>
      <c r="D17" s="32"/>
      <c r="E17" s="32"/>
      <c r="F17" s="33"/>
      <c r="G17" s="34"/>
      <c r="H17" s="32"/>
      <c r="I17" s="32"/>
      <c r="J17" s="35"/>
      <c r="K17">
        <v>22</v>
      </c>
    </row>
    <row r="18" spans="1:12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2" x14ac:dyDescent="0.25">
      <c r="B19" s="8"/>
      <c r="C19" s="1" t="s">
        <v>9</v>
      </c>
      <c r="D19" s="9" t="s">
        <v>38</v>
      </c>
      <c r="E19" s="48"/>
      <c r="F19" s="32"/>
      <c r="G19" s="32"/>
      <c r="H19" s="32"/>
      <c r="I19" s="32"/>
      <c r="J19" s="36" t="s">
        <v>28</v>
      </c>
      <c r="K19">
        <v>22</v>
      </c>
    </row>
    <row r="20" spans="1:12" x14ac:dyDescent="0.25">
      <c r="B20" s="8"/>
      <c r="D20" s="20" t="s">
        <v>7</v>
      </c>
      <c r="E20" s="30"/>
      <c r="F20" s="32"/>
      <c r="G20" s="32"/>
      <c r="H20" s="32"/>
      <c r="I20" s="32"/>
      <c r="J20" s="35"/>
      <c r="K20">
        <v>22</v>
      </c>
    </row>
    <row r="21" spans="1:12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2" ht="30" customHeight="1" x14ac:dyDescent="0.25">
      <c r="H22"/>
      <c r="I22" s="40" t="s">
        <v>17</v>
      </c>
      <c r="J22" s="41" t="s">
        <v>56</v>
      </c>
      <c r="K22">
        <v>40</v>
      </c>
    </row>
    <row r="23" spans="1:12" ht="9.75" customHeight="1" x14ac:dyDescent="0.25">
      <c r="K23" s="54">
        <v>13</v>
      </c>
      <c r="L23">
        <f>SUM(K23:K27)</f>
        <v>93</v>
      </c>
    </row>
    <row r="24" spans="1:12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 s="54">
        <v>24</v>
      </c>
    </row>
    <row r="25" spans="1:12" ht="26.25" customHeight="1" x14ac:dyDescent="0.25">
      <c r="C25" s="5" t="s">
        <v>37</v>
      </c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2" ht="9.75" customHeight="1" x14ac:dyDescent="0.25">
      <c r="D26" s="16"/>
      <c r="E26" s="16"/>
      <c r="G26" s="16"/>
      <c r="H26" s="16"/>
      <c r="I26" s="16"/>
      <c r="J26" s="16"/>
      <c r="K26" s="54">
        <v>13</v>
      </c>
    </row>
    <row r="27" spans="1:12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2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2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2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2" ht="23.25" customHeight="1" x14ac:dyDescent="0.25">
      <c r="J31" s="23" t="s">
        <v>39</v>
      </c>
      <c r="K31">
        <v>31</v>
      </c>
    </row>
    <row r="32" spans="1:12" ht="18" customHeight="1" x14ac:dyDescent="0.25">
      <c r="J32" s="24" t="s">
        <v>40</v>
      </c>
      <c r="K32">
        <v>24</v>
      </c>
    </row>
    <row r="33" spans="2:11" ht="17.25" customHeight="1" x14ac:dyDescent="0.25">
      <c r="C33" s="4" t="s">
        <v>18</v>
      </c>
      <c r="F33" s="20" t="s">
        <v>44</v>
      </c>
      <c r="I33" s="15" t="s">
        <v>19</v>
      </c>
      <c r="J33" s="52">
        <v>46175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45</v>
      </c>
      <c r="E38" s="28" t="s">
        <v>26</v>
      </c>
      <c r="F38" s="29" t="s">
        <v>32</v>
      </c>
      <c r="G38" s="46" t="s">
        <v>52</v>
      </c>
      <c r="H38" s="28" t="s">
        <v>8</v>
      </c>
      <c r="I38" s="28" t="s">
        <v>20</v>
      </c>
      <c r="J38" s="31" t="s">
        <v>20</v>
      </c>
      <c r="K38">
        <v>22</v>
      </c>
    </row>
    <row r="39" spans="2:11" x14ac:dyDescent="0.25">
      <c r="B39" s="8"/>
      <c r="C39" s="30" t="s">
        <v>46</v>
      </c>
      <c r="E39" s="28" t="s">
        <v>25</v>
      </c>
      <c r="F39" s="29" t="s">
        <v>32</v>
      </c>
      <c r="G39" s="46" t="s">
        <v>54</v>
      </c>
      <c r="H39" s="28" t="s">
        <v>41</v>
      </c>
      <c r="I39" s="28"/>
      <c r="J39" s="31"/>
      <c r="K39">
        <v>22</v>
      </c>
    </row>
    <row r="40" spans="2:11" x14ac:dyDescent="0.25">
      <c r="B40" s="8"/>
      <c r="C40" s="30" t="s">
        <v>47</v>
      </c>
      <c r="E40" s="28" t="s">
        <v>7</v>
      </c>
      <c r="F40" s="28"/>
      <c r="G40" s="28"/>
      <c r="H40" s="28" t="s">
        <v>42</v>
      </c>
      <c r="I40" s="28"/>
      <c r="J40" s="31"/>
      <c r="K40">
        <v>22</v>
      </c>
    </row>
    <row r="41" spans="2:11" x14ac:dyDescent="0.25">
      <c r="B41" s="8"/>
      <c r="C41" s="30" t="s">
        <v>48</v>
      </c>
      <c r="D41" s="28"/>
      <c r="E41" s="28"/>
      <c r="F41" s="28"/>
      <c r="G41" s="28"/>
      <c r="H41" s="28" t="s">
        <v>43</v>
      </c>
      <c r="I41" s="28"/>
      <c r="J41" s="31"/>
      <c r="K41">
        <v>22</v>
      </c>
    </row>
    <row r="42" spans="2:11" x14ac:dyDescent="0.25">
      <c r="B42" s="8"/>
      <c r="C42" s="30" t="s">
        <v>49</v>
      </c>
      <c r="D42" s="28"/>
      <c r="E42" s="28"/>
      <c r="F42" s="28"/>
      <c r="G42" s="28"/>
      <c r="H42" s="28"/>
      <c r="I42" s="28"/>
      <c r="J42" s="31"/>
      <c r="K42">
        <v>22</v>
      </c>
    </row>
    <row r="43" spans="2:11" x14ac:dyDescent="0.25">
      <c r="B43" s="8"/>
      <c r="C43" s="30" t="s">
        <v>50</v>
      </c>
      <c r="D43" s="32"/>
      <c r="E43" s="32"/>
      <c r="F43" s="29"/>
      <c r="G43" s="28"/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32"/>
      <c r="F44" s="33"/>
      <c r="G44" s="34"/>
      <c r="H44" s="32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 t="s">
        <v>38</v>
      </c>
      <c r="E46" s="48"/>
      <c r="F46" s="32"/>
      <c r="G46" s="32"/>
      <c r="H46" s="32"/>
      <c r="I46" s="32"/>
      <c r="J46" s="36" t="s">
        <v>28</v>
      </c>
      <c r="K46">
        <v>22</v>
      </c>
    </row>
    <row r="47" spans="2:11" x14ac:dyDescent="0.25">
      <c r="B47" s="8"/>
      <c r="D47" s="20" t="s">
        <v>7</v>
      </c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 t="s">
        <v>28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 t="s">
        <v>37</v>
      </c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6" spans="1:11" s="58" customFormat="1" ht="11.25" x14ac:dyDescent="0.25">
      <c r="A56" s="58">
        <v>20</v>
      </c>
      <c r="B56" s="58">
        <v>17</v>
      </c>
      <c r="C56" s="59">
        <v>122</v>
      </c>
      <c r="D56" s="60">
        <v>10</v>
      </c>
      <c r="E56" s="59">
        <v>58</v>
      </c>
      <c r="F56" s="59">
        <v>104</v>
      </c>
      <c r="G56" s="59">
        <v>62</v>
      </c>
      <c r="H56" s="59">
        <v>93</v>
      </c>
      <c r="I56" s="59">
        <v>144</v>
      </c>
      <c r="J56" s="59">
        <v>153</v>
      </c>
    </row>
  </sheetData>
  <sheetProtection algorithmName="SHA-512" hashValue="5OrGfpnr1huUSyCBjgGc5SAn3Wcy66oaIO86D8STba2+hg2pEOBNVT+sRwAIv8317ovXISf/u2iu+dzWKD6dQg==" saltValue="P3F4Kiovj91COlIk4WgnaA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BBBD5-C9A0-4C5C-95BC-66C2996901EE}">
  <dimension ref="A1:K55"/>
  <sheetViews>
    <sheetView tabSelected="1" topLeftCell="A34" workbookViewId="0">
      <selection activeCell="G64" sqref="G64:G65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57</v>
      </c>
      <c r="K4">
        <v>29</v>
      </c>
    </row>
    <row r="5" spans="2:11" x14ac:dyDescent="0.25">
      <c r="J5" s="24" t="s">
        <v>58</v>
      </c>
      <c r="K5">
        <v>22</v>
      </c>
    </row>
    <row r="6" spans="2:11" x14ac:dyDescent="0.25">
      <c r="C6" s="4" t="s">
        <v>18</v>
      </c>
      <c r="D6" s="4"/>
      <c r="F6" s="20" t="s">
        <v>74</v>
      </c>
      <c r="I6" s="11" t="s">
        <v>27</v>
      </c>
      <c r="J6" s="52">
        <v>46175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45</v>
      </c>
      <c r="E11" s="28" t="s">
        <v>25</v>
      </c>
      <c r="F11" s="29">
        <v>1990</v>
      </c>
      <c r="G11" s="46" t="s">
        <v>52</v>
      </c>
      <c r="H11" s="28"/>
      <c r="I11" s="28" t="s">
        <v>20</v>
      </c>
      <c r="J11" s="51" t="s">
        <v>20</v>
      </c>
      <c r="K11">
        <v>22</v>
      </c>
    </row>
    <row r="12" spans="2:11" x14ac:dyDescent="0.25">
      <c r="B12" s="8"/>
      <c r="C12" s="30"/>
      <c r="E12" s="28"/>
      <c r="F12" s="29">
        <v>53.43</v>
      </c>
      <c r="G12" s="46" t="s">
        <v>54</v>
      </c>
      <c r="H12" s="28"/>
      <c r="I12" s="28"/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 s="30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/>
      <c r="D15" s="28"/>
      <c r="E15" s="28"/>
      <c r="F15" s="28"/>
      <c r="G15" s="28"/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32"/>
      <c r="F16" s="29"/>
      <c r="G16" s="28"/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32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E19" s="9" t="s">
        <v>90</v>
      </c>
      <c r="F19" s="32"/>
      <c r="G19" s="32"/>
      <c r="H19" s="32"/>
      <c r="I19" s="32"/>
      <c r="J19" s="36" t="s">
        <v>28</v>
      </c>
      <c r="K19">
        <v>22</v>
      </c>
    </row>
    <row r="20" spans="1:11" x14ac:dyDescent="0.25">
      <c r="B20" s="8"/>
      <c r="E20" s="20" t="s">
        <v>7</v>
      </c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 t="s">
        <v>56</v>
      </c>
      <c r="K22">
        <v>40</v>
      </c>
    </row>
    <row r="23" spans="1:11" ht="9.7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 t="s">
        <v>37</v>
      </c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9.7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57</v>
      </c>
      <c r="K31">
        <v>31</v>
      </c>
    </row>
    <row r="32" spans="1:11" ht="18" customHeight="1" x14ac:dyDescent="0.25">
      <c r="J32" s="24" t="s">
        <v>58</v>
      </c>
      <c r="K32">
        <v>24</v>
      </c>
    </row>
    <row r="33" spans="2:11" ht="17.25" customHeight="1" x14ac:dyDescent="0.25">
      <c r="C33" s="4" t="s">
        <v>18</v>
      </c>
      <c r="F33" s="20" t="s">
        <v>74</v>
      </c>
      <c r="I33" s="15" t="s">
        <v>19</v>
      </c>
      <c r="J33" s="52">
        <v>46175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45</v>
      </c>
      <c r="E38" s="28" t="s">
        <v>25</v>
      </c>
      <c r="F38" s="29">
        <v>1990</v>
      </c>
      <c r="G38" s="46" t="s">
        <v>52</v>
      </c>
      <c r="H38" s="28" t="s">
        <v>8</v>
      </c>
      <c r="I38" s="28" t="s">
        <v>20</v>
      </c>
      <c r="J38" s="31" t="s">
        <v>20</v>
      </c>
      <c r="K38">
        <v>22</v>
      </c>
    </row>
    <row r="39" spans="2:11" x14ac:dyDescent="0.25">
      <c r="B39" s="8"/>
      <c r="C39" s="30"/>
      <c r="E39" s="28"/>
      <c r="F39" s="29">
        <v>53.43</v>
      </c>
      <c r="G39" s="46" t="s">
        <v>54</v>
      </c>
      <c r="H39" s="28" t="s">
        <v>41</v>
      </c>
      <c r="I39" s="28"/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8" t="s">
        <v>42</v>
      </c>
      <c r="I40" s="28"/>
      <c r="J40" s="31"/>
      <c r="K40">
        <v>22</v>
      </c>
    </row>
    <row r="41" spans="2:11" x14ac:dyDescent="0.25">
      <c r="B41" s="8"/>
      <c r="C41" s="30"/>
      <c r="D41" s="28"/>
      <c r="E41" s="28"/>
      <c r="F41" s="28"/>
      <c r="G41" s="28"/>
      <c r="H41" s="28" t="s">
        <v>43</v>
      </c>
      <c r="I41" s="28"/>
      <c r="J41" s="31"/>
      <c r="K41">
        <v>22</v>
      </c>
    </row>
    <row r="42" spans="2:11" x14ac:dyDescent="0.25">
      <c r="B42" s="8"/>
      <c r="C42" s="30"/>
      <c r="D42" s="28"/>
      <c r="E42" s="28"/>
      <c r="F42" s="28"/>
      <c r="G42" s="28"/>
      <c r="H42" s="28"/>
      <c r="I42" s="28"/>
      <c r="J42" s="31"/>
      <c r="K42">
        <v>22</v>
      </c>
    </row>
    <row r="43" spans="2:11" x14ac:dyDescent="0.25">
      <c r="B43" s="8"/>
      <c r="C43" s="30"/>
      <c r="D43" s="32"/>
      <c r="E43" s="32"/>
      <c r="F43" s="29"/>
      <c r="G43" s="28"/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32"/>
      <c r="F44" s="33"/>
      <c r="G44" s="34"/>
      <c r="H44" s="32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/>
      <c r="E46" s="9" t="s">
        <v>90</v>
      </c>
      <c r="F46" s="32"/>
      <c r="G46" s="32"/>
      <c r="H46" s="32"/>
      <c r="I46" s="32"/>
      <c r="J46" s="36" t="s">
        <v>28</v>
      </c>
      <c r="K46">
        <v>22</v>
      </c>
    </row>
    <row r="47" spans="2:11" x14ac:dyDescent="0.25">
      <c r="B47" s="8"/>
      <c r="D47" s="20"/>
      <c r="E47" s="20" t="s">
        <v>7</v>
      </c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 t="s">
        <v>28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 t="s">
        <v>37</v>
      </c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4" spans="1:11" ht="16.5" customHeight="1" x14ac:dyDescent="0.25">
      <c r="D54" s="16"/>
      <c r="E54" s="16"/>
      <c r="G54" s="16"/>
      <c r="H54" s="16"/>
      <c r="I54" s="16"/>
      <c r="J54" s="16"/>
    </row>
    <row r="55" spans="1:11" s="58" customFormat="1" ht="11.25" x14ac:dyDescent="0.25">
      <c r="A55" s="58">
        <v>20</v>
      </c>
      <c r="B55" s="58">
        <v>17</v>
      </c>
      <c r="C55" s="59">
        <v>122</v>
      </c>
      <c r="D55" s="60">
        <v>10</v>
      </c>
      <c r="E55" s="59">
        <v>58</v>
      </c>
      <c r="F55" s="59">
        <v>104</v>
      </c>
      <c r="G55" s="59">
        <v>62</v>
      </c>
      <c r="H55" s="59">
        <v>93</v>
      </c>
      <c r="I55" s="59">
        <v>144</v>
      </c>
      <c r="J55" s="59">
        <v>153</v>
      </c>
    </row>
  </sheetData>
  <sheetProtection algorithmName="SHA-512" hashValue="mYZWgynDhU0CQ+MK00JU8UGfDSKZVPgyrleIWmnSMJweHfrg5/GPyEwDpcCYDBNlK6huVRhTQt+vrV/Xrhi4Kw==" saltValue="S0ArIKmt8zk8vOd+/kxacg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55795-DBCF-4A5B-92B1-C256FC0B7866}">
  <dimension ref="A1:K55"/>
  <sheetViews>
    <sheetView topLeftCell="A31" workbookViewId="0">
      <selection activeCell="R29" sqref="R29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59</v>
      </c>
      <c r="K4">
        <v>29</v>
      </c>
    </row>
    <row r="5" spans="2:11" x14ac:dyDescent="0.25">
      <c r="J5" s="24" t="s">
        <v>60</v>
      </c>
      <c r="K5">
        <v>22</v>
      </c>
    </row>
    <row r="6" spans="2:11" x14ac:dyDescent="0.25">
      <c r="C6" s="4" t="s">
        <v>18</v>
      </c>
      <c r="D6" s="4"/>
      <c r="F6" s="20" t="s">
        <v>92</v>
      </c>
      <c r="I6" s="11" t="s">
        <v>27</v>
      </c>
      <c r="J6" s="52">
        <v>46175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49" t="s">
        <v>3</v>
      </c>
      <c r="D11" s="28"/>
      <c r="E11" s="28" t="s">
        <v>25</v>
      </c>
      <c r="F11" s="29">
        <v>750</v>
      </c>
      <c r="G11" s="46" t="s">
        <v>52</v>
      </c>
      <c r="H11" s="28"/>
      <c r="I11" s="28" t="s">
        <v>20</v>
      </c>
      <c r="J11" s="51"/>
      <c r="K11">
        <v>22</v>
      </c>
    </row>
    <row r="12" spans="2:11" x14ac:dyDescent="0.25">
      <c r="B12" s="8"/>
      <c r="C12" s="30"/>
      <c r="E12" s="28"/>
      <c r="F12" s="29">
        <v>20.038</v>
      </c>
      <c r="G12" s="46" t="s">
        <v>54</v>
      </c>
      <c r="H12" s="28"/>
      <c r="I12" s="28" t="s">
        <v>62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 t="s">
        <v>29</v>
      </c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49" t="s">
        <v>3</v>
      </c>
      <c r="D15" s="28"/>
      <c r="E15" s="28" t="s">
        <v>26</v>
      </c>
      <c r="F15" s="55">
        <v>1000</v>
      </c>
      <c r="G15" s="46" t="s">
        <v>52</v>
      </c>
      <c r="H15" s="28"/>
      <c r="I15" s="28"/>
      <c r="J15" s="31"/>
      <c r="K15">
        <v>22</v>
      </c>
    </row>
    <row r="16" spans="2:11" x14ac:dyDescent="0.25">
      <c r="B16" s="8"/>
      <c r="C16" s="49"/>
      <c r="D16" s="32"/>
      <c r="E16" s="28"/>
      <c r="F16" s="29">
        <v>26.716999999999999</v>
      </c>
      <c r="G16" s="46" t="s">
        <v>54</v>
      </c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 t="s">
        <v>38</v>
      </c>
      <c r="E19" s="48"/>
      <c r="F19" s="32"/>
      <c r="G19" s="32"/>
      <c r="H19" s="32"/>
      <c r="I19" s="32"/>
      <c r="J19" s="36" t="s">
        <v>28</v>
      </c>
      <c r="K19">
        <v>22</v>
      </c>
    </row>
    <row r="20" spans="1:11" x14ac:dyDescent="0.25">
      <c r="B20" s="8"/>
      <c r="D20" s="20" t="s">
        <v>7</v>
      </c>
      <c r="E20" s="30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 t="s">
        <v>28</v>
      </c>
      <c r="K22">
        <v>40</v>
      </c>
    </row>
    <row r="23" spans="1:11" ht="9.7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 t="s">
        <v>37</v>
      </c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9.7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59</v>
      </c>
      <c r="K31">
        <v>31</v>
      </c>
    </row>
    <row r="32" spans="1:11" ht="18" customHeight="1" x14ac:dyDescent="0.25">
      <c r="J32" s="24" t="s">
        <v>60</v>
      </c>
      <c r="K32">
        <v>24</v>
      </c>
    </row>
    <row r="33" spans="2:11" ht="17.25" customHeight="1" x14ac:dyDescent="0.25">
      <c r="C33" s="4" t="s">
        <v>18</v>
      </c>
      <c r="F33" s="20" t="s">
        <v>92</v>
      </c>
      <c r="I33" s="15" t="s">
        <v>19</v>
      </c>
      <c r="J33" s="52">
        <v>46175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49" t="s">
        <v>3</v>
      </c>
      <c r="D38" s="28"/>
      <c r="E38" s="28" t="s">
        <v>25</v>
      </c>
      <c r="F38" s="29">
        <v>750</v>
      </c>
      <c r="G38" s="46" t="s">
        <v>52</v>
      </c>
      <c r="H38" s="17" t="s">
        <v>8</v>
      </c>
      <c r="I38" s="28" t="s">
        <v>20</v>
      </c>
      <c r="J38" s="31"/>
      <c r="K38">
        <v>22</v>
      </c>
    </row>
    <row r="39" spans="2:11" x14ac:dyDescent="0.25">
      <c r="B39" s="8"/>
      <c r="C39" s="30"/>
      <c r="E39" s="28"/>
      <c r="F39" s="29">
        <v>20.038</v>
      </c>
      <c r="G39" s="46" t="s">
        <v>54</v>
      </c>
      <c r="H39" s="25" t="s">
        <v>64</v>
      </c>
      <c r="I39" s="28" t="s">
        <v>62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5" t="s">
        <v>63</v>
      </c>
      <c r="I40" s="28"/>
      <c r="J40" s="31"/>
      <c r="K40">
        <v>22</v>
      </c>
    </row>
    <row r="41" spans="2:11" x14ac:dyDescent="0.25">
      <c r="B41" s="8"/>
      <c r="C41" t="s">
        <v>29</v>
      </c>
      <c r="D41" s="28"/>
      <c r="E41" s="28"/>
      <c r="F41" s="28"/>
      <c r="G41" s="28"/>
      <c r="H41" s="17"/>
      <c r="I41" s="28"/>
      <c r="J41" s="31"/>
      <c r="K41">
        <v>22</v>
      </c>
    </row>
    <row r="42" spans="2:11" x14ac:dyDescent="0.25">
      <c r="B42" s="8"/>
      <c r="C42" s="49" t="s">
        <v>3</v>
      </c>
      <c r="D42" s="28"/>
      <c r="E42" s="28" t="s">
        <v>26</v>
      </c>
      <c r="F42" s="55">
        <v>1000</v>
      </c>
      <c r="G42" s="46" t="s">
        <v>52</v>
      </c>
      <c r="H42" s="17" t="s">
        <v>8</v>
      </c>
      <c r="I42" s="28"/>
      <c r="J42" s="31"/>
      <c r="K42">
        <v>22</v>
      </c>
    </row>
    <row r="43" spans="2:11" x14ac:dyDescent="0.25">
      <c r="B43" s="8"/>
      <c r="C43" s="49"/>
      <c r="D43" s="32"/>
      <c r="E43" s="28"/>
      <c r="F43" s="29">
        <v>26.716999999999999</v>
      </c>
      <c r="G43" s="46" t="s">
        <v>54</v>
      </c>
      <c r="H43" s="25" t="s">
        <v>64</v>
      </c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25" t="s">
        <v>63</v>
      </c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 t="s">
        <v>38</v>
      </c>
      <c r="E46" s="48"/>
      <c r="F46" s="32"/>
      <c r="G46" s="32"/>
      <c r="H46" s="32"/>
      <c r="I46" s="32"/>
      <c r="J46" s="36" t="s">
        <v>28</v>
      </c>
      <c r="K46">
        <v>22</v>
      </c>
    </row>
    <row r="47" spans="2:11" x14ac:dyDescent="0.25">
      <c r="B47" s="8"/>
      <c r="D47" s="20" t="s">
        <v>7</v>
      </c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 t="s">
        <v>28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 t="s">
        <v>37</v>
      </c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s="58" customFormat="1" ht="11.25" x14ac:dyDescent="0.25">
      <c r="A55" s="58">
        <v>20</v>
      </c>
      <c r="B55" s="58">
        <v>17</v>
      </c>
      <c r="C55" s="59">
        <v>122</v>
      </c>
      <c r="D55" s="60">
        <v>10</v>
      </c>
      <c r="E55" s="59">
        <v>58</v>
      </c>
      <c r="F55" s="59">
        <v>104</v>
      </c>
      <c r="G55" s="59">
        <v>62</v>
      </c>
      <c r="H55" s="59">
        <v>93</v>
      </c>
      <c r="I55" s="59">
        <v>144</v>
      </c>
      <c r="J55" s="59">
        <v>153</v>
      </c>
    </row>
  </sheetData>
  <sheetProtection algorithmName="SHA-512" hashValue="E2WrNrZIH89YAfO+De4OKkgziDFrxNpvK7M7f12AwzY/NnsQ4DuNzG5TAoGWA8+NrJux8pedKqoNz0g+n3Zo2Q==" saltValue="W3UJXcpBralwo20OcrDYww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DC32-EFA6-439B-9B01-DB82FB8DD0E6}">
  <dimension ref="A1:K55"/>
  <sheetViews>
    <sheetView topLeftCell="B1" workbookViewId="0">
      <selection activeCell="C41" sqref="C41:I44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33</v>
      </c>
      <c r="K4">
        <v>29</v>
      </c>
    </row>
    <row r="5" spans="2:11" x14ac:dyDescent="0.25">
      <c r="J5" s="10" t="s">
        <v>69</v>
      </c>
      <c r="K5">
        <v>22</v>
      </c>
    </row>
    <row r="6" spans="2:11" x14ac:dyDescent="0.25">
      <c r="C6" s="4" t="s">
        <v>18</v>
      </c>
      <c r="D6" s="4"/>
      <c r="F6" s="20" t="s">
        <v>89</v>
      </c>
      <c r="I6" s="11" t="s">
        <v>27</v>
      </c>
      <c r="J6" s="52">
        <v>46175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6</v>
      </c>
      <c r="E11" s="28" t="s">
        <v>65</v>
      </c>
      <c r="F11" s="56">
        <v>2000</v>
      </c>
      <c r="G11" s="46" t="s">
        <v>51</v>
      </c>
      <c r="H11" s="28"/>
      <c r="I11" s="28" t="s">
        <v>66</v>
      </c>
      <c r="J11" s="51"/>
      <c r="K11">
        <v>22</v>
      </c>
    </row>
    <row r="12" spans="2:11" x14ac:dyDescent="0.25">
      <c r="B12" s="8"/>
      <c r="C12" s="30"/>
      <c r="E12" s="28"/>
      <c r="F12" s="29">
        <v>53.433999999999997</v>
      </c>
      <c r="G12" s="46" t="s">
        <v>53</v>
      </c>
      <c r="H12" s="28"/>
      <c r="I12" s="28" t="s">
        <v>61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/>
      <c r="D15" s="28"/>
      <c r="E15" s="28"/>
      <c r="F15" s="56"/>
      <c r="G15" s="46"/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28"/>
      <c r="F16" s="29"/>
      <c r="G16" s="46"/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/>
      <c r="E19" s="9" t="s">
        <v>72</v>
      </c>
      <c r="F19" s="32"/>
      <c r="G19" s="32"/>
      <c r="H19" s="32"/>
      <c r="I19" s="32"/>
      <c r="J19" s="36"/>
      <c r="K19">
        <v>22</v>
      </c>
    </row>
    <row r="20" spans="1:11" x14ac:dyDescent="0.25">
      <c r="B20" s="8"/>
      <c r="D20" s="20"/>
      <c r="E20" s="48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/>
      <c r="K22">
        <v>40</v>
      </c>
    </row>
    <row r="23" spans="1:11" ht="9.7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/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9.7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33</v>
      </c>
      <c r="K31">
        <v>31</v>
      </c>
    </row>
    <row r="32" spans="1:11" ht="18" customHeight="1" x14ac:dyDescent="0.25">
      <c r="J32" s="10" t="s">
        <v>69</v>
      </c>
      <c r="K32">
        <v>24</v>
      </c>
    </row>
    <row r="33" spans="2:11" ht="17.25" customHeight="1" x14ac:dyDescent="0.25">
      <c r="C33" s="4" t="s">
        <v>18</v>
      </c>
      <c r="F33" s="20" t="s">
        <v>89</v>
      </c>
      <c r="I33" s="15" t="s">
        <v>19</v>
      </c>
      <c r="J33" s="52">
        <v>46175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6</v>
      </c>
      <c r="E38" s="28" t="s">
        <v>65</v>
      </c>
      <c r="F38" s="56">
        <v>2000</v>
      </c>
      <c r="G38" s="46" t="s">
        <v>51</v>
      </c>
      <c r="H38" s="28" t="s">
        <v>8</v>
      </c>
      <c r="I38" s="28" t="s">
        <v>66</v>
      </c>
      <c r="J38" s="31"/>
      <c r="K38">
        <v>22</v>
      </c>
    </row>
    <row r="39" spans="2:11" x14ac:dyDescent="0.25">
      <c r="B39" s="8"/>
      <c r="C39" s="30"/>
      <c r="E39" s="28"/>
      <c r="F39" s="29">
        <v>53.433999999999997</v>
      </c>
      <c r="G39" s="46" t="s">
        <v>53</v>
      </c>
      <c r="H39" s="30" t="s">
        <v>64</v>
      </c>
      <c r="I39" s="28" t="s">
        <v>61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8" t="s">
        <v>73</v>
      </c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8"/>
      <c r="G41" s="28"/>
      <c r="H41" s="28"/>
      <c r="I41" s="28"/>
      <c r="J41" s="31"/>
      <c r="K41">
        <v>22</v>
      </c>
    </row>
    <row r="42" spans="2:11" x14ac:dyDescent="0.25">
      <c r="B42" s="8"/>
      <c r="C42" s="30"/>
      <c r="D42" s="28"/>
      <c r="E42" s="28"/>
      <c r="F42" s="56"/>
      <c r="G42" s="46"/>
      <c r="H42" s="28"/>
      <c r="I42" s="28"/>
      <c r="J42" s="31"/>
      <c r="K42">
        <v>22</v>
      </c>
    </row>
    <row r="43" spans="2:11" x14ac:dyDescent="0.25">
      <c r="B43" s="8"/>
      <c r="C43" s="30"/>
      <c r="D43" s="32"/>
      <c r="E43" s="28"/>
      <c r="F43" s="29"/>
      <c r="G43" s="46"/>
      <c r="H43" s="30"/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32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67</v>
      </c>
      <c r="D46" s="9"/>
      <c r="E46" s="9" t="s">
        <v>72</v>
      </c>
      <c r="F46" s="32"/>
      <c r="G46" s="32"/>
      <c r="H46" s="32"/>
      <c r="I46" s="32"/>
      <c r="J46" s="36"/>
      <c r="K46">
        <v>22</v>
      </c>
    </row>
    <row r="47" spans="2:11" x14ac:dyDescent="0.25">
      <c r="B47" s="8"/>
      <c r="D47" s="20"/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/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/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s="58" customFormat="1" ht="11.25" x14ac:dyDescent="0.25">
      <c r="A55" s="58">
        <v>20</v>
      </c>
      <c r="B55" s="58">
        <v>17</v>
      </c>
      <c r="C55" s="59">
        <v>122</v>
      </c>
      <c r="D55" s="60">
        <v>10</v>
      </c>
      <c r="E55" s="59">
        <v>58</v>
      </c>
      <c r="F55" s="59">
        <v>104</v>
      </c>
      <c r="G55" s="59">
        <v>62</v>
      </c>
      <c r="H55" s="59">
        <v>93</v>
      </c>
      <c r="I55" s="59">
        <v>144</v>
      </c>
      <c r="J55" s="59">
        <v>153</v>
      </c>
    </row>
  </sheetData>
  <sheetProtection algorithmName="SHA-512" hashValue="haBk2Sy+GpeeW8S+YLLA3HtnD02rCQN+jETdn9ILKYLgRw7Kwla291OavFw/6Lkf6XQ6ns/Bb7WJ41nrr180Xw==" saltValue="Ojkshv87K4AxgjQO2E/MTQ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C291-CBEE-4D65-997B-5F8E4E61F195}">
  <dimension ref="A1:K55"/>
  <sheetViews>
    <sheetView topLeftCell="A13" workbookViewId="0">
      <selection activeCell="E19" sqref="E19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33</v>
      </c>
      <c r="K4">
        <v>29</v>
      </c>
    </row>
    <row r="5" spans="2:11" x14ac:dyDescent="0.25">
      <c r="J5" s="10" t="s">
        <v>70</v>
      </c>
      <c r="K5">
        <v>22</v>
      </c>
    </row>
    <row r="6" spans="2:11" x14ac:dyDescent="0.25">
      <c r="C6" s="4" t="s">
        <v>18</v>
      </c>
      <c r="D6" s="4"/>
      <c r="F6" s="20" t="s">
        <v>74</v>
      </c>
      <c r="I6" s="11" t="s">
        <v>27</v>
      </c>
      <c r="J6" s="52">
        <v>46185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6</v>
      </c>
      <c r="E11" s="28" t="s">
        <v>65</v>
      </c>
      <c r="F11" s="56">
        <v>2000</v>
      </c>
      <c r="G11" s="46" t="s">
        <v>51</v>
      </c>
      <c r="H11" s="28"/>
      <c r="I11" s="28" t="s">
        <v>66</v>
      </c>
      <c r="J11" s="51"/>
      <c r="K11">
        <v>22</v>
      </c>
    </row>
    <row r="12" spans="2:11" x14ac:dyDescent="0.25">
      <c r="B12" s="8"/>
      <c r="C12" s="30"/>
      <c r="E12" s="28"/>
      <c r="F12" s="29">
        <v>53.433999999999997</v>
      </c>
      <c r="G12" s="46" t="s">
        <v>53</v>
      </c>
      <c r="H12" s="28"/>
      <c r="I12" s="28" t="s">
        <v>61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/>
      <c r="D15" s="28"/>
      <c r="E15" s="28"/>
      <c r="F15" s="56"/>
      <c r="G15" s="46"/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28"/>
      <c r="F16" s="29"/>
      <c r="G16" s="46"/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/>
      <c r="E19" s="9" t="s">
        <v>82</v>
      </c>
      <c r="F19" s="32"/>
      <c r="G19" s="32"/>
      <c r="H19" s="32"/>
      <c r="I19" s="32"/>
      <c r="J19" s="36"/>
      <c r="K19">
        <v>22</v>
      </c>
    </row>
    <row r="20" spans="1:11" x14ac:dyDescent="0.25">
      <c r="B20" s="8"/>
      <c r="D20" s="20"/>
      <c r="E20" s="48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/>
      <c r="K22">
        <v>40</v>
      </c>
    </row>
    <row r="23" spans="1:11" ht="13.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/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4.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33</v>
      </c>
      <c r="K31">
        <v>31</v>
      </c>
    </row>
    <row r="32" spans="1:11" ht="18" customHeight="1" x14ac:dyDescent="0.25">
      <c r="J32" s="10" t="s">
        <v>70</v>
      </c>
      <c r="K32">
        <v>24</v>
      </c>
    </row>
    <row r="33" spans="2:11" ht="17.25" customHeight="1" x14ac:dyDescent="0.25">
      <c r="C33" s="4" t="s">
        <v>18</v>
      </c>
      <c r="F33" s="20" t="s">
        <v>74</v>
      </c>
      <c r="I33" s="15" t="s">
        <v>19</v>
      </c>
      <c r="J33" s="52">
        <v>46185</v>
      </c>
      <c r="K33">
        <v>23</v>
      </c>
    </row>
    <row r="34" spans="2:11" ht="8.25" customHeight="1" x14ac:dyDescent="0.25">
      <c r="J34" s="57"/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6</v>
      </c>
      <c r="E38" s="28" t="s">
        <v>65</v>
      </c>
      <c r="F38" s="56">
        <v>2000</v>
      </c>
      <c r="G38" s="46" t="s">
        <v>51</v>
      </c>
      <c r="H38" s="28" t="s">
        <v>8</v>
      </c>
      <c r="I38" s="28" t="s">
        <v>66</v>
      </c>
      <c r="J38" s="31"/>
      <c r="K38">
        <v>22</v>
      </c>
    </row>
    <row r="39" spans="2:11" x14ac:dyDescent="0.25">
      <c r="B39" s="8"/>
      <c r="C39" s="30"/>
      <c r="E39" s="28"/>
      <c r="F39" s="29">
        <v>53.433999999999997</v>
      </c>
      <c r="G39" s="46" t="s">
        <v>53</v>
      </c>
      <c r="H39" s="30" t="s">
        <v>64</v>
      </c>
      <c r="I39" s="28" t="s">
        <v>61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8" t="s">
        <v>73</v>
      </c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8"/>
      <c r="G41" s="28"/>
      <c r="H41" s="28"/>
      <c r="I41" s="28"/>
      <c r="J41" s="31"/>
      <c r="K41">
        <v>22</v>
      </c>
    </row>
    <row r="42" spans="2:11" x14ac:dyDescent="0.25">
      <c r="B42" s="8"/>
      <c r="C42" s="30"/>
      <c r="D42" s="28"/>
      <c r="E42" s="28"/>
      <c r="F42" s="56"/>
      <c r="G42" s="28"/>
      <c r="H42" s="28"/>
      <c r="I42" s="28"/>
      <c r="J42" s="31"/>
      <c r="K42">
        <v>22</v>
      </c>
    </row>
    <row r="43" spans="2:11" x14ac:dyDescent="0.25">
      <c r="B43" s="8"/>
      <c r="C43" s="30"/>
      <c r="D43" s="32"/>
      <c r="E43" s="28"/>
      <c r="F43" s="29"/>
      <c r="G43" s="28"/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28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/>
      <c r="E46" s="9" t="s">
        <v>82</v>
      </c>
      <c r="F46" s="32"/>
      <c r="G46" s="32"/>
      <c r="H46" s="32"/>
      <c r="I46" s="32"/>
      <c r="J46" s="36"/>
      <c r="K46">
        <v>22</v>
      </c>
    </row>
    <row r="47" spans="2:11" x14ac:dyDescent="0.25">
      <c r="B47" s="8"/>
      <c r="D47" s="20"/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/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/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s="58" customFormat="1" ht="11.25" x14ac:dyDescent="0.25">
      <c r="A55" s="58">
        <v>20</v>
      </c>
      <c r="B55" s="58">
        <v>17</v>
      </c>
      <c r="C55" s="59">
        <v>122</v>
      </c>
      <c r="D55" s="60">
        <v>10</v>
      </c>
      <c r="E55" s="59">
        <v>58</v>
      </c>
      <c r="F55" s="59">
        <v>104</v>
      </c>
      <c r="G55" s="59">
        <v>62</v>
      </c>
      <c r="H55" s="59">
        <v>93</v>
      </c>
      <c r="I55" s="59">
        <v>144</v>
      </c>
      <c r="J55" s="59">
        <v>153</v>
      </c>
    </row>
  </sheetData>
  <sheetProtection algorithmName="SHA-512" hashValue="qjJVCyHOO+++7hwkyKWUSTNM44+e8I13Uajxjas4+xxM3A1DoqGhfPx47TThy8IxmojUVqLDwg+eVPT4AGzTPQ==" saltValue="HHuz7GpCXOIqtpBTjCtHig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3E14A-FB7F-4058-A89C-00F33577FC20}">
  <dimension ref="A1:K55"/>
  <sheetViews>
    <sheetView topLeftCell="A28" workbookViewId="0">
      <selection activeCell="J33" sqref="J33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33</v>
      </c>
      <c r="K4">
        <v>29</v>
      </c>
    </row>
    <row r="5" spans="2:11" x14ac:dyDescent="0.25">
      <c r="J5" s="10" t="s">
        <v>85</v>
      </c>
      <c r="K5">
        <v>22</v>
      </c>
    </row>
    <row r="6" spans="2:11" x14ac:dyDescent="0.25">
      <c r="C6" s="4" t="s">
        <v>18</v>
      </c>
      <c r="D6" s="4"/>
      <c r="F6" s="20" t="s">
        <v>74</v>
      </c>
      <c r="I6" s="11" t="s">
        <v>27</v>
      </c>
      <c r="J6" s="52">
        <v>46185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6</v>
      </c>
      <c r="E11" s="28" t="s">
        <v>65</v>
      </c>
      <c r="F11" s="56" t="s">
        <v>55</v>
      </c>
      <c r="G11" s="46" t="s">
        <v>51</v>
      </c>
      <c r="H11" s="28"/>
      <c r="I11" s="28" t="s">
        <v>66</v>
      </c>
      <c r="J11" s="51"/>
      <c r="K11">
        <v>22</v>
      </c>
    </row>
    <row r="12" spans="2:11" x14ac:dyDescent="0.25">
      <c r="B12" s="8"/>
      <c r="C12" s="30"/>
      <c r="E12" s="28"/>
      <c r="F12" s="29"/>
      <c r="G12" s="46" t="s">
        <v>53</v>
      </c>
      <c r="H12" s="28"/>
      <c r="I12" s="28" t="s">
        <v>61</v>
      </c>
      <c r="J12" s="31"/>
      <c r="K12">
        <v>22</v>
      </c>
    </row>
    <row r="13" spans="2:11" x14ac:dyDescent="0.25">
      <c r="B13" s="8"/>
      <c r="C13" s="30" t="s">
        <v>5</v>
      </c>
      <c r="E13" s="28" t="s">
        <v>83</v>
      </c>
      <c r="F13" s="29" t="s">
        <v>55</v>
      </c>
      <c r="G13" s="46" t="s">
        <v>51</v>
      </c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9"/>
      <c r="G14" s="46" t="s">
        <v>53</v>
      </c>
      <c r="H14" s="28"/>
      <c r="I14" s="28"/>
      <c r="J14" s="31"/>
      <c r="K14">
        <v>22</v>
      </c>
    </row>
    <row r="15" spans="2:11" x14ac:dyDescent="0.25">
      <c r="B15" s="8"/>
      <c r="C15" s="30" t="s">
        <v>4</v>
      </c>
      <c r="D15" s="28"/>
      <c r="E15" s="28" t="s">
        <v>83</v>
      </c>
      <c r="F15" s="29" t="s">
        <v>55</v>
      </c>
      <c r="G15" s="46" t="s">
        <v>51</v>
      </c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28"/>
      <c r="F16" s="29"/>
      <c r="G16" s="46" t="s">
        <v>53</v>
      </c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/>
      <c r="E19" s="9"/>
      <c r="F19" s="32"/>
      <c r="G19" s="32"/>
      <c r="H19" s="32"/>
      <c r="I19" s="32"/>
      <c r="J19" s="36"/>
      <c r="K19">
        <v>22</v>
      </c>
    </row>
    <row r="20" spans="1:11" x14ac:dyDescent="0.25">
      <c r="B20" s="8"/>
      <c r="D20" s="20"/>
      <c r="E20" s="48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/>
      <c r="K22">
        <v>40</v>
      </c>
    </row>
    <row r="23" spans="1:11" ht="13.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/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4.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33</v>
      </c>
      <c r="K31">
        <v>31</v>
      </c>
    </row>
    <row r="32" spans="1:11" ht="18" customHeight="1" x14ac:dyDescent="0.25">
      <c r="J32" s="10" t="s">
        <v>85</v>
      </c>
      <c r="K32">
        <v>24</v>
      </c>
    </row>
    <row r="33" spans="2:11" ht="17.25" customHeight="1" x14ac:dyDescent="0.25">
      <c r="C33" s="4" t="s">
        <v>18</v>
      </c>
      <c r="F33" s="20" t="s">
        <v>74</v>
      </c>
      <c r="I33" s="15" t="s">
        <v>19</v>
      </c>
      <c r="J33" s="52">
        <v>46185</v>
      </c>
      <c r="K33">
        <v>23</v>
      </c>
    </row>
    <row r="34" spans="2:11" ht="8.25" customHeight="1" x14ac:dyDescent="0.25">
      <c r="J34" s="57"/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6</v>
      </c>
      <c r="E38" s="28" t="s">
        <v>65</v>
      </c>
      <c r="F38" s="56" t="s">
        <v>55</v>
      </c>
      <c r="G38" s="46" t="s">
        <v>51</v>
      </c>
      <c r="H38" s="28" t="s">
        <v>8</v>
      </c>
      <c r="I38" s="28" t="s">
        <v>66</v>
      </c>
      <c r="J38" s="31"/>
      <c r="K38">
        <v>22</v>
      </c>
    </row>
    <row r="39" spans="2:11" x14ac:dyDescent="0.25">
      <c r="B39" s="8"/>
      <c r="C39" s="30"/>
      <c r="E39" s="28"/>
      <c r="F39" s="29"/>
      <c r="G39" s="46" t="s">
        <v>53</v>
      </c>
      <c r="H39" s="28" t="s">
        <v>84</v>
      </c>
      <c r="I39" s="28" t="s">
        <v>61</v>
      </c>
      <c r="J39" s="31"/>
      <c r="K39">
        <v>22</v>
      </c>
    </row>
    <row r="40" spans="2:11" x14ac:dyDescent="0.25">
      <c r="B40" s="8"/>
      <c r="C40" s="30" t="s">
        <v>5</v>
      </c>
      <c r="E40" s="28" t="s">
        <v>83</v>
      </c>
      <c r="F40" s="29" t="s">
        <v>55</v>
      </c>
      <c r="G40" s="46" t="s">
        <v>51</v>
      </c>
      <c r="H40" s="28" t="s">
        <v>8</v>
      </c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9"/>
      <c r="G41" s="46" t="s">
        <v>53</v>
      </c>
      <c r="H41" s="28" t="s">
        <v>84</v>
      </c>
      <c r="I41" s="28"/>
      <c r="J41" s="31"/>
      <c r="K41">
        <v>22</v>
      </c>
    </row>
    <row r="42" spans="2:11" x14ac:dyDescent="0.25">
      <c r="B42" s="8"/>
      <c r="C42" s="30" t="s">
        <v>4</v>
      </c>
      <c r="D42" s="28"/>
      <c r="E42" s="28" t="s">
        <v>83</v>
      </c>
      <c r="F42" s="29" t="s">
        <v>55</v>
      </c>
      <c r="G42" s="46" t="s">
        <v>51</v>
      </c>
      <c r="H42" s="28" t="s">
        <v>8</v>
      </c>
      <c r="I42" s="28"/>
      <c r="J42" s="31"/>
      <c r="K42">
        <v>22</v>
      </c>
    </row>
    <row r="43" spans="2:11" x14ac:dyDescent="0.25">
      <c r="B43" s="8"/>
      <c r="C43" s="30"/>
      <c r="D43" s="32"/>
      <c r="E43" s="28"/>
      <c r="F43" s="29"/>
      <c r="G43" s="46" t="s">
        <v>53</v>
      </c>
      <c r="H43" s="28" t="s">
        <v>84</v>
      </c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28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/>
      <c r="E46" s="9"/>
      <c r="F46" s="32"/>
      <c r="G46" s="32"/>
      <c r="H46" s="32"/>
      <c r="I46" s="32"/>
      <c r="J46" s="36"/>
      <c r="K46">
        <v>22</v>
      </c>
    </row>
    <row r="47" spans="2:11" x14ac:dyDescent="0.25">
      <c r="B47" s="8"/>
      <c r="D47" s="20"/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/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/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s="58" customFormat="1" ht="11.25" x14ac:dyDescent="0.25">
      <c r="A55" s="58">
        <v>20</v>
      </c>
      <c r="B55" s="58">
        <v>17</v>
      </c>
      <c r="C55" s="59">
        <v>122</v>
      </c>
      <c r="D55" s="60">
        <v>10</v>
      </c>
      <c r="E55" s="59">
        <v>58</v>
      </c>
      <c r="F55" s="59">
        <v>104</v>
      </c>
      <c r="G55" s="59">
        <v>62</v>
      </c>
      <c r="H55" s="59">
        <v>93</v>
      </c>
      <c r="I55" s="59">
        <v>144</v>
      </c>
      <c r="J55" s="59">
        <v>153</v>
      </c>
    </row>
  </sheetData>
  <sheetProtection algorithmName="SHA-512" hashValue="iG9ZuTJLJTENZDvK05122BFFyNPOApxlqdlhbAlbx5qtp33dzj9/98mcP3a+wH3kg6UOfiAzufLFNoIvZC5a9Q==" saltValue="K9fYNb4CeV3U7ImsluDzjg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0207B-25AF-4222-A5B5-76AAC0C2A755}">
  <dimension ref="A1:K56"/>
  <sheetViews>
    <sheetView workbookViewId="0">
      <selection activeCell="C41" sqref="C41:H45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33</v>
      </c>
      <c r="K4">
        <v>29</v>
      </c>
    </row>
    <row r="5" spans="2:11" x14ac:dyDescent="0.25">
      <c r="J5" s="10" t="s">
        <v>81</v>
      </c>
      <c r="K5">
        <v>22</v>
      </c>
    </row>
    <row r="6" spans="2:11" x14ac:dyDescent="0.25">
      <c r="C6" s="4" t="s">
        <v>18</v>
      </c>
      <c r="D6" s="4"/>
      <c r="F6" s="20" t="s">
        <v>74</v>
      </c>
      <c r="I6" s="11" t="s">
        <v>27</v>
      </c>
      <c r="J6" s="52">
        <v>46185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3</v>
      </c>
      <c r="D11" s="28"/>
      <c r="E11" s="28" t="s">
        <v>68</v>
      </c>
      <c r="F11" s="56">
        <v>1510</v>
      </c>
      <c r="G11" s="46" t="s">
        <v>51</v>
      </c>
      <c r="H11" s="28"/>
      <c r="I11" s="28" t="s">
        <v>66</v>
      </c>
      <c r="J11" s="51"/>
      <c r="K11">
        <v>22</v>
      </c>
    </row>
    <row r="12" spans="2:11" x14ac:dyDescent="0.25">
      <c r="B12" s="8"/>
      <c r="C12" s="30"/>
      <c r="D12" s="32"/>
      <c r="E12" s="28"/>
      <c r="F12" s="29">
        <v>40.340000000000003</v>
      </c>
      <c r="G12" s="46" t="s">
        <v>53</v>
      </c>
      <c r="H12" s="28"/>
      <c r="I12" s="28" t="s">
        <v>61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/>
      <c r="D15" s="28"/>
      <c r="E15" s="28"/>
      <c r="F15" s="56"/>
      <c r="G15" s="46"/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28"/>
      <c r="F16" s="29"/>
      <c r="G16" s="46"/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/>
      <c r="E19" s="9" t="s">
        <v>71</v>
      </c>
      <c r="F19" s="32"/>
      <c r="G19" s="32"/>
      <c r="H19" s="32"/>
      <c r="I19" s="32"/>
      <c r="J19" s="36"/>
      <c r="K19">
        <v>22</v>
      </c>
    </row>
    <row r="20" spans="1:11" x14ac:dyDescent="0.25">
      <c r="B20" s="8"/>
      <c r="D20" s="20"/>
      <c r="E20" s="48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/>
      <c r="K22">
        <v>40</v>
      </c>
    </row>
    <row r="23" spans="1:11" ht="13.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/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4.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33</v>
      </c>
      <c r="K31">
        <v>31</v>
      </c>
    </row>
    <row r="32" spans="1:11" ht="18" customHeight="1" x14ac:dyDescent="0.25">
      <c r="J32" s="10" t="s">
        <v>81</v>
      </c>
      <c r="K32">
        <v>24</v>
      </c>
    </row>
    <row r="33" spans="2:11" ht="17.25" customHeight="1" x14ac:dyDescent="0.25">
      <c r="C33" s="4" t="s">
        <v>18</v>
      </c>
      <c r="F33" s="20" t="s">
        <v>74</v>
      </c>
      <c r="I33" s="15" t="s">
        <v>19</v>
      </c>
      <c r="J33" s="52">
        <v>46185</v>
      </c>
      <c r="K33">
        <v>23</v>
      </c>
    </row>
    <row r="34" spans="2:11" ht="8.25" customHeight="1" x14ac:dyDescent="0.25">
      <c r="J34" s="57"/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3</v>
      </c>
      <c r="D38" s="28"/>
      <c r="E38" s="28" t="s">
        <v>68</v>
      </c>
      <c r="F38" s="56">
        <v>1510</v>
      </c>
      <c r="G38" s="46" t="s">
        <v>51</v>
      </c>
      <c r="H38" s="28" t="s">
        <v>8</v>
      </c>
      <c r="I38" s="28" t="s">
        <v>66</v>
      </c>
      <c r="J38" s="31"/>
      <c r="K38">
        <v>22</v>
      </c>
    </row>
    <row r="39" spans="2:11" x14ac:dyDescent="0.25">
      <c r="B39" s="8"/>
      <c r="C39" s="30"/>
      <c r="D39" s="32"/>
      <c r="E39" s="28"/>
      <c r="F39" s="29">
        <v>40.340000000000003</v>
      </c>
      <c r="G39" s="46" t="s">
        <v>53</v>
      </c>
      <c r="H39" s="30" t="s">
        <v>64</v>
      </c>
      <c r="I39" s="28" t="s">
        <v>61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8" t="s">
        <v>73</v>
      </c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8"/>
      <c r="G41" s="28"/>
      <c r="H41" s="28"/>
      <c r="I41" s="28"/>
      <c r="J41" s="31"/>
      <c r="K41">
        <v>22</v>
      </c>
    </row>
    <row r="42" spans="2:11" x14ac:dyDescent="0.25">
      <c r="B42" s="8"/>
      <c r="C42" s="30"/>
      <c r="D42" s="28"/>
      <c r="E42" s="28"/>
      <c r="F42" s="56"/>
      <c r="G42" s="46"/>
      <c r="H42" s="28"/>
      <c r="I42" s="28"/>
      <c r="J42" s="31"/>
      <c r="K42">
        <v>22</v>
      </c>
    </row>
    <row r="43" spans="2:11" x14ac:dyDescent="0.25">
      <c r="B43" s="8"/>
      <c r="C43" s="30"/>
      <c r="D43" s="32"/>
      <c r="E43" s="28"/>
      <c r="F43" s="29"/>
      <c r="G43" s="46"/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28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/>
      <c r="E46" s="9" t="s">
        <v>71</v>
      </c>
      <c r="F46" s="32"/>
      <c r="G46" s="32"/>
      <c r="H46" s="32"/>
      <c r="I46" s="32"/>
      <c r="J46" s="36"/>
      <c r="K46">
        <v>22</v>
      </c>
    </row>
    <row r="47" spans="2:11" x14ac:dyDescent="0.25">
      <c r="B47" s="8"/>
      <c r="D47" s="20"/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/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/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x14ac:dyDescent="0.25">
      <c r="K55" s="58"/>
    </row>
    <row r="56" spans="1:11" s="58" customFormat="1" x14ac:dyDescent="0.25">
      <c r="A56" s="58">
        <v>20</v>
      </c>
      <c r="B56" s="58">
        <v>17</v>
      </c>
      <c r="C56" s="59">
        <v>122</v>
      </c>
      <c r="D56" s="60">
        <v>10</v>
      </c>
      <c r="E56" s="59">
        <v>58</v>
      </c>
      <c r="F56" s="59">
        <v>104</v>
      </c>
      <c r="G56" s="59">
        <v>62</v>
      </c>
      <c r="H56" s="59">
        <v>93</v>
      </c>
      <c r="I56" s="59">
        <v>144</v>
      </c>
      <c r="J56" s="59">
        <v>153</v>
      </c>
      <c r="K56"/>
    </row>
  </sheetData>
  <sheetProtection algorithmName="SHA-512" hashValue="ayOd8++UfXjSq1GU68rS7Nu9jKzByZbVlyMTv7cqkV3PkF3bT3fQKrWcEFkyzbcUzUeiE4G+tv1RnTmMvhcrcA==" saltValue="yuBJRAStOIVOEIrnA5ZMQw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EAF0-C9B1-4113-B024-CD4F270E7E30}">
  <dimension ref="A1:K56"/>
  <sheetViews>
    <sheetView topLeftCell="A16" workbookViewId="0">
      <selection activeCell="H39" sqref="H39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33</v>
      </c>
      <c r="K4">
        <v>29</v>
      </c>
    </row>
    <row r="5" spans="2:11" x14ac:dyDescent="0.25">
      <c r="J5" s="10" t="s">
        <v>86</v>
      </c>
      <c r="K5">
        <v>22</v>
      </c>
    </row>
    <row r="6" spans="2:11" x14ac:dyDescent="0.25">
      <c r="C6" s="4" t="s">
        <v>18</v>
      </c>
      <c r="D6" s="4"/>
      <c r="F6" s="20" t="s">
        <v>74</v>
      </c>
      <c r="I6" s="11" t="s">
        <v>27</v>
      </c>
      <c r="J6" s="52">
        <v>46185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3</v>
      </c>
      <c r="D11" s="28"/>
      <c r="E11" s="28" t="s">
        <v>68</v>
      </c>
      <c r="F11" s="56" t="s">
        <v>55</v>
      </c>
      <c r="G11" s="46" t="s">
        <v>51</v>
      </c>
      <c r="H11" s="28"/>
      <c r="I11" s="28" t="s">
        <v>66</v>
      </c>
      <c r="J11" s="51"/>
      <c r="K11">
        <v>22</v>
      </c>
    </row>
    <row r="12" spans="2:11" x14ac:dyDescent="0.25">
      <c r="B12" s="8"/>
      <c r="C12" s="30"/>
      <c r="D12" s="32"/>
      <c r="E12" s="28"/>
      <c r="F12" s="29" t="s">
        <v>55</v>
      </c>
      <c r="G12" s="46" t="s">
        <v>53</v>
      </c>
      <c r="H12" s="28"/>
      <c r="I12" s="28" t="s">
        <v>61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/>
      <c r="D15" s="28"/>
      <c r="E15" s="28"/>
      <c r="F15" s="56"/>
      <c r="G15" s="46"/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28"/>
      <c r="F16" s="29"/>
      <c r="G16" s="46"/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/>
      <c r="E19" s="9" t="s">
        <v>88</v>
      </c>
      <c r="F19" s="32"/>
      <c r="G19" s="32"/>
      <c r="H19" s="32"/>
      <c r="I19" s="32"/>
      <c r="J19" s="36"/>
      <c r="K19">
        <v>22</v>
      </c>
    </row>
    <row r="20" spans="1:11" x14ac:dyDescent="0.25">
      <c r="B20" s="8"/>
      <c r="D20" s="20"/>
      <c r="E20" s="48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/>
      <c r="K22">
        <v>40</v>
      </c>
    </row>
    <row r="23" spans="1:11" ht="13.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/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4.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33</v>
      </c>
      <c r="K31">
        <v>31</v>
      </c>
    </row>
    <row r="32" spans="1:11" ht="18" customHeight="1" x14ac:dyDescent="0.25">
      <c r="J32" s="10" t="s">
        <v>86</v>
      </c>
      <c r="K32">
        <v>24</v>
      </c>
    </row>
    <row r="33" spans="2:11" ht="17.25" customHeight="1" x14ac:dyDescent="0.25">
      <c r="C33" s="4" t="s">
        <v>18</v>
      </c>
      <c r="F33" s="20" t="s">
        <v>74</v>
      </c>
      <c r="I33" s="15" t="s">
        <v>19</v>
      </c>
      <c r="J33" s="52">
        <v>46185</v>
      </c>
      <c r="K33">
        <v>23</v>
      </c>
    </row>
    <row r="34" spans="2:11" ht="8.25" customHeight="1" x14ac:dyDescent="0.25">
      <c r="J34" s="57"/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3</v>
      </c>
      <c r="D38" s="28"/>
      <c r="E38" s="28" t="s">
        <v>68</v>
      </c>
      <c r="F38" s="56" t="s">
        <v>32</v>
      </c>
      <c r="G38" s="46" t="s">
        <v>51</v>
      </c>
      <c r="H38" s="28" t="s">
        <v>30</v>
      </c>
      <c r="I38" s="28" t="s">
        <v>66</v>
      </c>
      <c r="J38" s="31"/>
      <c r="K38">
        <v>22</v>
      </c>
    </row>
    <row r="39" spans="2:11" x14ac:dyDescent="0.25">
      <c r="B39" s="8"/>
      <c r="C39" s="30"/>
      <c r="D39" s="32"/>
      <c r="E39" s="28"/>
      <c r="F39" s="29" t="s">
        <v>32</v>
      </c>
      <c r="G39" s="46" t="s">
        <v>53</v>
      </c>
      <c r="H39" s="28" t="s">
        <v>87</v>
      </c>
      <c r="I39" s="28" t="s">
        <v>61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8"/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8"/>
      <c r="G41" s="28"/>
      <c r="H41" s="28"/>
      <c r="I41" s="28"/>
      <c r="J41" s="31"/>
      <c r="K41">
        <v>22</v>
      </c>
    </row>
    <row r="42" spans="2:11" x14ac:dyDescent="0.25">
      <c r="B42" s="8"/>
      <c r="C42" s="30"/>
      <c r="D42" s="28"/>
      <c r="E42" s="28"/>
      <c r="F42" s="56"/>
      <c r="G42" s="46"/>
      <c r="H42" s="28"/>
      <c r="I42" s="28"/>
      <c r="J42" s="31"/>
      <c r="K42">
        <v>22</v>
      </c>
    </row>
    <row r="43" spans="2:11" x14ac:dyDescent="0.25">
      <c r="B43" s="8"/>
      <c r="C43" s="30"/>
      <c r="D43" s="32"/>
      <c r="E43" s="28"/>
      <c r="F43" s="29"/>
      <c r="G43" s="46"/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28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/>
      <c r="E46" s="9" t="s">
        <v>88</v>
      </c>
      <c r="F46" s="32"/>
      <c r="G46" s="32"/>
      <c r="H46" s="32"/>
      <c r="I46" s="32"/>
      <c r="J46" s="36"/>
      <c r="K46">
        <v>22</v>
      </c>
    </row>
    <row r="47" spans="2:11" x14ac:dyDescent="0.25">
      <c r="B47" s="8"/>
      <c r="D47" s="20"/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/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/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x14ac:dyDescent="0.25">
      <c r="K55" s="58"/>
    </row>
    <row r="56" spans="1:11" s="58" customFormat="1" x14ac:dyDescent="0.25">
      <c r="A56" s="58">
        <v>20</v>
      </c>
      <c r="B56" s="58">
        <v>17</v>
      </c>
      <c r="C56" s="59">
        <v>122</v>
      </c>
      <c r="D56" s="60">
        <v>10</v>
      </c>
      <c r="E56" s="59">
        <v>58</v>
      </c>
      <c r="F56" s="59">
        <v>104</v>
      </c>
      <c r="G56" s="59">
        <v>62</v>
      </c>
      <c r="H56" s="59">
        <v>93</v>
      </c>
      <c r="I56" s="59">
        <v>144</v>
      </c>
      <c r="J56" s="59">
        <v>153</v>
      </c>
      <c r="K56"/>
    </row>
  </sheetData>
  <sheetProtection algorithmName="SHA-512" hashValue="SUWP6L1YehauNkV/XvFPFj+F6e0GutD9CxImxHpBnG1XtnxzJXxQ1/zbGvEJr8TlQpjKLshRxJE3bkmP3n2Kqg==" saltValue="uZfppjcrqesAy3Cvto/+Aw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E17-324C-452F-951B-1B23A17758F5}">
  <dimension ref="A1:K55"/>
  <sheetViews>
    <sheetView topLeftCell="A19" workbookViewId="0">
      <selection activeCell="K19" sqref="K1:K1048576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59</v>
      </c>
      <c r="K4">
        <v>29</v>
      </c>
    </row>
    <row r="5" spans="2:11" x14ac:dyDescent="0.25">
      <c r="J5" s="24" t="s">
        <v>78</v>
      </c>
      <c r="K5">
        <v>22</v>
      </c>
    </row>
    <row r="6" spans="2:11" x14ac:dyDescent="0.25">
      <c r="C6" s="4" t="s">
        <v>18</v>
      </c>
      <c r="D6" s="4"/>
      <c r="F6" s="20" t="s">
        <v>44</v>
      </c>
      <c r="I6" s="11" t="s">
        <v>27</v>
      </c>
      <c r="J6" s="52">
        <v>46185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3</v>
      </c>
      <c r="E11" s="28" t="s">
        <v>25</v>
      </c>
      <c r="F11" s="56" t="s">
        <v>79</v>
      </c>
      <c r="G11" s="46" t="s">
        <v>52</v>
      </c>
      <c r="H11" s="28" t="s">
        <v>75</v>
      </c>
      <c r="I11" s="28" t="s">
        <v>20</v>
      </c>
      <c r="J11" s="51" t="s">
        <v>28</v>
      </c>
      <c r="K11">
        <v>22</v>
      </c>
    </row>
    <row r="12" spans="2:11" x14ac:dyDescent="0.25">
      <c r="B12" s="8"/>
      <c r="C12" s="30"/>
      <c r="E12" s="28"/>
      <c r="F12" s="29" t="s">
        <v>80</v>
      </c>
      <c r="G12" s="46" t="s">
        <v>54</v>
      </c>
      <c r="H12" s="28"/>
      <c r="I12" s="28" t="s">
        <v>62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49"/>
      <c r="D15" s="28"/>
      <c r="E15" s="28"/>
      <c r="F15" s="29"/>
      <c r="G15" s="46"/>
      <c r="H15" s="28"/>
      <c r="I15" s="28"/>
      <c r="J15" s="31"/>
      <c r="K15">
        <v>22</v>
      </c>
    </row>
    <row r="16" spans="2:11" x14ac:dyDescent="0.25">
      <c r="B16" s="8"/>
      <c r="C16" s="49"/>
      <c r="D16" s="32"/>
      <c r="E16" s="28"/>
      <c r="F16" s="29"/>
      <c r="G16" s="46"/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E19" s="9" t="s">
        <v>76</v>
      </c>
      <c r="F19" s="32"/>
      <c r="G19" s="32"/>
      <c r="H19" s="32"/>
      <c r="I19" s="32"/>
      <c r="J19" s="36" t="s">
        <v>28</v>
      </c>
      <c r="K19">
        <v>22</v>
      </c>
    </row>
    <row r="20" spans="1:11" x14ac:dyDescent="0.25">
      <c r="B20" s="8"/>
      <c r="E20" s="20" t="s">
        <v>7</v>
      </c>
      <c r="F20" s="32"/>
      <c r="G20" s="32"/>
      <c r="H20" s="32"/>
      <c r="I20" s="32"/>
      <c r="J20" s="31" t="s">
        <v>28</v>
      </c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 t="s">
        <v>28</v>
      </c>
      <c r="K22">
        <v>40</v>
      </c>
    </row>
    <row r="23" spans="1:11" ht="9.7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 t="s">
        <v>37</v>
      </c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9.7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59</v>
      </c>
      <c r="K31">
        <v>31</v>
      </c>
    </row>
    <row r="32" spans="1:11" ht="18" customHeight="1" x14ac:dyDescent="0.25">
      <c r="J32" s="24" t="s">
        <v>78</v>
      </c>
      <c r="K32">
        <v>24</v>
      </c>
    </row>
    <row r="33" spans="2:11" ht="17.25" customHeight="1" x14ac:dyDescent="0.25">
      <c r="C33" s="4" t="s">
        <v>18</v>
      </c>
      <c r="F33" s="20" t="s">
        <v>44</v>
      </c>
      <c r="I33" s="15" t="s">
        <v>19</v>
      </c>
      <c r="J33" s="52">
        <v>46185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3</v>
      </c>
      <c r="E38" s="28" t="s">
        <v>25</v>
      </c>
      <c r="F38" s="56" t="s">
        <v>79</v>
      </c>
      <c r="G38" s="46" t="s">
        <v>52</v>
      </c>
      <c r="H38" s="17" t="s">
        <v>8</v>
      </c>
      <c r="I38" s="28" t="s">
        <v>20</v>
      </c>
      <c r="J38" s="31" t="s">
        <v>28</v>
      </c>
      <c r="K38">
        <v>22</v>
      </c>
    </row>
    <row r="39" spans="2:11" x14ac:dyDescent="0.25">
      <c r="B39" s="8"/>
      <c r="C39" s="30"/>
      <c r="E39" s="28"/>
      <c r="F39" s="29" t="s">
        <v>80</v>
      </c>
      <c r="G39" s="46" t="s">
        <v>54</v>
      </c>
      <c r="H39" s="25" t="s">
        <v>64</v>
      </c>
      <c r="I39" s="28" t="s">
        <v>62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5" t="s">
        <v>63</v>
      </c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8"/>
      <c r="G41" s="28"/>
      <c r="H41" s="17"/>
      <c r="I41" s="28"/>
      <c r="J41" s="31"/>
      <c r="K41">
        <v>22</v>
      </c>
    </row>
    <row r="42" spans="2:11" x14ac:dyDescent="0.25">
      <c r="B42" s="8"/>
      <c r="C42" s="49"/>
      <c r="D42" s="28"/>
      <c r="E42" s="28"/>
      <c r="F42" s="29"/>
      <c r="G42" s="46"/>
      <c r="I42" s="28"/>
      <c r="J42" s="31"/>
      <c r="K42">
        <v>22</v>
      </c>
    </row>
    <row r="43" spans="2:11" x14ac:dyDescent="0.25">
      <c r="B43" s="8"/>
      <c r="C43" s="49"/>
      <c r="D43" s="32"/>
      <c r="E43" s="28"/>
      <c r="F43" s="29"/>
      <c r="G43" s="46"/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E46" s="9" t="s">
        <v>76</v>
      </c>
      <c r="F46" s="32"/>
      <c r="G46" s="32"/>
      <c r="H46" s="32"/>
      <c r="I46" s="32"/>
      <c r="J46" s="36" t="s">
        <v>28</v>
      </c>
      <c r="K46">
        <v>22</v>
      </c>
    </row>
    <row r="47" spans="2:11" x14ac:dyDescent="0.25">
      <c r="B47" s="8"/>
      <c r="E47" s="20" t="s">
        <v>7</v>
      </c>
      <c r="F47" s="32"/>
      <c r="G47" s="32"/>
      <c r="H47" s="32"/>
      <c r="I47" s="32"/>
      <c r="J47" s="36" t="s">
        <v>28</v>
      </c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 t="s">
        <v>28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 t="s">
        <v>37</v>
      </c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s="58" customFormat="1" ht="11.25" x14ac:dyDescent="0.25">
      <c r="A55" s="58">
        <v>20</v>
      </c>
      <c r="B55" s="58">
        <v>17</v>
      </c>
      <c r="C55" s="59">
        <v>122</v>
      </c>
      <c r="D55" s="60">
        <v>10</v>
      </c>
      <c r="E55" s="59">
        <v>58</v>
      </c>
      <c r="F55" s="59">
        <v>104</v>
      </c>
      <c r="G55" s="59">
        <v>62</v>
      </c>
      <c r="H55" s="59">
        <v>93</v>
      </c>
      <c r="I55" s="59">
        <v>144</v>
      </c>
      <c r="J55" s="59">
        <v>153</v>
      </c>
    </row>
  </sheetData>
  <sheetProtection algorithmName="SHA-512" hashValue="X64rv4rhfN79C9ugByswMpaJkmrl5/8WXf3Oqle4suTL4mLWePWlc/DQWoOWvDHCzCt8ZEPMEIPTs27/qM8r2Q==" saltValue="NJ+t8eqV/1LR9zTaWlY5FA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02E28-B7CE-48BA-8B75-036FE38288E7}">
  <dimension ref="A1:K56"/>
  <sheetViews>
    <sheetView topLeftCell="A25" workbookViewId="0">
      <selection activeCell="K25" sqref="K1:K1048576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59</v>
      </c>
      <c r="K4">
        <v>29</v>
      </c>
    </row>
    <row r="5" spans="2:11" x14ac:dyDescent="0.25">
      <c r="J5" s="24" t="s">
        <v>78</v>
      </c>
      <c r="K5">
        <v>22</v>
      </c>
    </row>
    <row r="6" spans="2:11" x14ac:dyDescent="0.25">
      <c r="C6" s="4" t="s">
        <v>18</v>
      </c>
      <c r="D6" s="4"/>
      <c r="F6" s="20" t="s">
        <v>44</v>
      </c>
      <c r="I6" s="11" t="s">
        <v>27</v>
      </c>
      <c r="J6" s="52">
        <v>46185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3</v>
      </c>
      <c r="E11" s="28" t="s">
        <v>25</v>
      </c>
      <c r="F11" s="56">
        <v>498</v>
      </c>
      <c r="G11" s="46" t="s">
        <v>52</v>
      </c>
      <c r="H11" s="28" t="s">
        <v>75</v>
      </c>
      <c r="I11" s="28" t="s">
        <v>20</v>
      </c>
      <c r="J11" s="51"/>
      <c r="K11">
        <v>22</v>
      </c>
    </row>
    <row r="12" spans="2:11" x14ac:dyDescent="0.25">
      <c r="B12" s="8"/>
      <c r="C12" s="30"/>
      <c r="E12" s="28"/>
      <c r="F12" s="29">
        <v>13.3</v>
      </c>
      <c r="G12" s="46" t="s">
        <v>54</v>
      </c>
      <c r="H12" s="28"/>
      <c r="I12" s="28" t="s">
        <v>62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/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 t="s">
        <v>3</v>
      </c>
      <c r="E15" s="28" t="s">
        <v>25</v>
      </c>
      <c r="F15" s="29">
        <v>2</v>
      </c>
      <c r="G15" s="46" t="s">
        <v>52</v>
      </c>
      <c r="H15" s="28"/>
      <c r="I15" s="28"/>
      <c r="J15" s="31" t="s">
        <v>28</v>
      </c>
      <c r="K15">
        <v>22</v>
      </c>
    </row>
    <row r="16" spans="2:11" x14ac:dyDescent="0.25">
      <c r="B16" s="8"/>
      <c r="C16" s="49"/>
      <c r="D16" s="32"/>
      <c r="E16" s="28"/>
      <c r="F16" s="29">
        <v>0.05</v>
      </c>
      <c r="G16" s="46" t="s">
        <v>54</v>
      </c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E19" s="9" t="s">
        <v>76</v>
      </c>
      <c r="F19" s="32"/>
      <c r="G19" s="32"/>
      <c r="H19" s="32"/>
      <c r="I19" s="32"/>
      <c r="J19" s="36" t="s">
        <v>28</v>
      </c>
      <c r="K19">
        <v>22</v>
      </c>
    </row>
    <row r="20" spans="1:11" x14ac:dyDescent="0.25">
      <c r="B20" s="8"/>
      <c r="E20" s="20" t="s">
        <v>7</v>
      </c>
      <c r="F20" s="32"/>
      <c r="G20" s="32"/>
      <c r="H20" s="32"/>
      <c r="I20" s="32"/>
      <c r="J20" s="31" t="s">
        <v>28</v>
      </c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 t="s">
        <v>28</v>
      </c>
      <c r="K22">
        <v>40</v>
      </c>
    </row>
    <row r="23" spans="1:11" ht="9.7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 t="s">
        <v>37</v>
      </c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9.7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59</v>
      </c>
      <c r="K31">
        <v>31</v>
      </c>
    </row>
    <row r="32" spans="1:11" ht="18" customHeight="1" x14ac:dyDescent="0.25">
      <c r="J32" s="24" t="s">
        <v>78</v>
      </c>
      <c r="K32">
        <v>24</v>
      </c>
    </row>
    <row r="33" spans="2:11" ht="17.25" customHeight="1" x14ac:dyDescent="0.25">
      <c r="C33" s="4" t="s">
        <v>18</v>
      </c>
      <c r="F33" s="20" t="s">
        <v>44</v>
      </c>
      <c r="I33" s="15" t="s">
        <v>19</v>
      </c>
      <c r="J33" s="52">
        <v>46185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3</v>
      </c>
      <c r="E38" s="28" t="s">
        <v>25</v>
      </c>
      <c r="F38" s="56">
        <v>498</v>
      </c>
      <c r="G38" s="46" t="s">
        <v>52</v>
      </c>
      <c r="H38" s="17" t="s">
        <v>8</v>
      </c>
      <c r="I38" s="28" t="s">
        <v>20</v>
      </c>
      <c r="J38" s="31"/>
      <c r="K38">
        <v>22</v>
      </c>
    </row>
    <row r="39" spans="2:11" x14ac:dyDescent="0.25">
      <c r="B39" s="8"/>
      <c r="C39" s="30"/>
      <c r="E39" s="28"/>
      <c r="F39" s="29">
        <v>13.3</v>
      </c>
      <c r="G39" s="46" t="s">
        <v>54</v>
      </c>
      <c r="H39" s="25" t="s">
        <v>64</v>
      </c>
      <c r="I39" s="28" t="s">
        <v>62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5" t="s">
        <v>63</v>
      </c>
      <c r="I40" s="28"/>
      <c r="J40" s="31"/>
      <c r="K40">
        <v>22</v>
      </c>
    </row>
    <row r="41" spans="2:11" x14ac:dyDescent="0.25">
      <c r="B41" s="8"/>
      <c r="C41"/>
      <c r="D41" s="28"/>
      <c r="E41" s="28"/>
      <c r="F41" s="28"/>
      <c r="G41" s="28"/>
      <c r="H41" s="17"/>
      <c r="I41" s="28"/>
      <c r="J41" s="31"/>
      <c r="K41">
        <v>22</v>
      </c>
    </row>
    <row r="42" spans="2:11" x14ac:dyDescent="0.25">
      <c r="B42" s="8"/>
      <c r="C42" s="30" t="s">
        <v>3</v>
      </c>
      <c r="E42" s="28" t="s">
        <v>25</v>
      </c>
      <c r="F42" s="29">
        <v>2</v>
      </c>
      <c r="G42" s="46" t="s">
        <v>52</v>
      </c>
      <c r="H42" s="28"/>
      <c r="I42" s="28"/>
      <c r="J42" s="31" t="s">
        <v>28</v>
      </c>
      <c r="K42">
        <v>22</v>
      </c>
    </row>
    <row r="43" spans="2:11" x14ac:dyDescent="0.25">
      <c r="B43" s="8"/>
      <c r="C43" s="49"/>
      <c r="D43" s="32"/>
      <c r="E43" s="28"/>
      <c r="F43" s="29">
        <v>0.05</v>
      </c>
      <c r="G43" s="46" t="s">
        <v>54</v>
      </c>
      <c r="H43" s="28"/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E46" s="9" t="s">
        <v>76</v>
      </c>
      <c r="F46" s="32"/>
      <c r="G46" s="32"/>
      <c r="H46" s="32"/>
      <c r="I46" s="32"/>
      <c r="J46" s="36" t="s">
        <v>28</v>
      </c>
      <c r="K46">
        <v>22</v>
      </c>
    </row>
    <row r="47" spans="2:11" x14ac:dyDescent="0.25">
      <c r="B47" s="8"/>
      <c r="E47" s="20" t="s">
        <v>7</v>
      </c>
      <c r="F47" s="32"/>
      <c r="G47" s="32"/>
      <c r="H47" s="32"/>
      <c r="I47" s="32"/>
      <c r="J47" s="36" t="s">
        <v>28</v>
      </c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 t="s">
        <v>28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 t="s">
        <v>37</v>
      </c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x14ac:dyDescent="0.25">
      <c r="K55" s="58"/>
    </row>
    <row r="56" spans="1:11" s="58" customFormat="1" x14ac:dyDescent="0.25">
      <c r="A56" s="58">
        <v>20</v>
      </c>
      <c r="B56" s="58">
        <v>17</v>
      </c>
      <c r="C56" s="59">
        <v>122</v>
      </c>
      <c r="D56" s="60">
        <v>10</v>
      </c>
      <c r="E56" s="59">
        <v>58</v>
      </c>
      <c r="F56" s="59">
        <v>104</v>
      </c>
      <c r="G56" s="59">
        <v>62</v>
      </c>
      <c r="H56" s="59">
        <v>93</v>
      </c>
      <c r="I56" s="59">
        <v>144</v>
      </c>
      <c r="J56" s="59">
        <v>153</v>
      </c>
      <c r="K56"/>
    </row>
  </sheetData>
  <sheetProtection algorithmName="SHA-512" hashValue="Y9Vdn3ueWj8ehINXO7orKcmgVFSrB/fMKkgsa3LOGxEg6pBSttpN2fUTLJ7PYf86vRxSsh64yYFjWKyiHTqPyQ==" saltValue="zFnt89jRhXUeE+gs8BUzYQ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AE066-3B47-495A-9316-53DB0187B6B9}">
  <dimension ref="A1:K56"/>
  <sheetViews>
    <sheetView workbookViewId="0">
      <selection activeCell="F44" sqref="F44"/>
    </sheetView>
  </sheetViews>
  <sheetFormatPr defaultRowHeight="16.5" x14ac:dyDescent="0.25"/>
  <cols>
    <col min="1" max="1" width="2.5" customWidth="1"/>
    <col min="2" max="2" width="2.125" customWidth="1"/>
    <col min="3" max="3" width="15.25" style="1" customWidth="1"/>
    <col min="4" max="4" width="1.25" style="1" customWidth="1"/>
    <col min="5" max="5" width="7.25" style="1" customWidth="1"/>
    <col min="6" max="6" width="13" style="1" customWidth="1"/>
    <col min="7" max="7" width="7.75" style="1" customWidth="1"/>
    <col min="8" max="8" width="11.625" style="1" customWidth="1"/>
    <col min="9" max="9" width="18" style="1" customWidth="1"/>
    <col min="10" max="10" width="19.125" style="1" customWidth="1"/>
  </cols>
  <sheetData>
    <row r="1" spans="2:11" ht="16.5" customHeight="1" x14ac:dyDescent="0.25">
      <c r="K1">
        <v>22</v>
      </c>
    </row>
    <row r="2" spans="2:11" x14ac:dyDescent="0.25">
      <c r="K2">
        <v>22</v>
      </c>
    </row>
    <row r="3" spans="2:11" ht="15" customHeight="1" x14ac:dyDescent="0.25">
      <c r="J3" s="22"/>
      <c r="K3" s="53">
        <v>20</v>
      </c>
    </row>
    <row r="4" spans="2:11" ht="21.75" customHeight="1" x14ac:dyDescent="0.25">
      <c r="J4" s="23" t="s">
        <v>59</v>
      </c>
      <c r="K4">
        <v>29</v>
      </c>
    </row>
    <row r="5" spans="2:11" x14ac:dyDescent="0.25">
      <c r="J5" s="24" t="s">
        <v>77</v>
      </c>
      <c r="K5">
        <v>22</v>
      </c>
    </row>
    <row r="6" spans="2:11" x14ac:dyDescent="0.25">
      <c r="C6" s="4" t="s">
        <v>18</v>
      </c>
      <c r="D6" s="4"/>
      <c r="F6" s="20" t="s">
        <v>89</v>
      </c>
      <c r="I6" s="11" t="s">
        <v>27</v>
      </c>
      <c r="J6" s="52">
        <v>46175</v>
      </c>
      <c r="K6">
        <v>22</v>
      </c>
    </row>
    <row r="7" spans="2:11" ht="9" customHeight="1" x14ac:dyDescent="0.25">
      <c r="K7">
        <v>12</v>
      </c>
    </row>
    <row r="8" spans="2:11" ht="18" customHeight="1" x14ac:dyDescent="0.25">
      <c r="B8" s="42"/>
      <c r="C8" s="2" t="s">
        <v>0</v>
      </c>
      <c r="D8" s="2"/>
      <c r="E8" s="2" t="s">
        <v>23</v>
      </c>
      <c r="F8" s="61" t="s">
        <v>1</v>
      </c>
      <c r="G8" s="61"/>
      <c r="H8" s="2"/>
      <c r="I8" s="43" t="s">
        <v>2</v>
      </c>
      <c r="J8" s="12" t="s">
        <v>15</v>
      </c>
      <c r="K8">
        <v>24</v>
      </c>
    </row>
    <row r="9" spans="2:11" ht="18.75" customHeight="1" x14ac:dyDescent="0.25">
      <c r="B9" s="44"/>
      <c r="C9" s="3" t="s">
        <v>10</v>
      </c>
      <c r="D9" s="3"/>
      <c r="E9" s="3" t="s">
        <v>24</v>
      </c>
      <c r="F9" s="62" t="s">
        <v>11</v>
      </c>
      <c r="G9" s="62"/>
      <c r="H9" s="3"/>
      <c r="I9" s="45" t="s">
        <v>14</v>
      </c>
      <c r="J9" s="13" t="s">
        <v>16</v>
      </c>
      <c r="K9">
        <v>25</v>
      </c>
    </row>
    <row r="10" spans="2:11" ht="8.25" customHeight="1" x14ac:dyDescent="0.25">
      <c r="B10" s="8"/>
      <c r="J10" s="12"/>
      <c r="K10">
        <v>11</v>
      </c>
    </row>
    <row r="11" spans="2:11" x14ac:dyDescent="0.25">
      <c r="B11" s="8"/>
      <c r="C11" s="30" t="s">
        <v>5</v>
      </c>
      <c r="E11" s="28">
        <v>9.9969999999999999</v>
      </c>
      <c r="F11" s="56">
        <v>2000</v>
      </c>
      <c r="G11" s="46" t="s">
        <v>51</v>
      </c>
      <c r="H11" s="28"/>
      <c r="I11" s="28" t="s">
        <v>66</v>
      </c>
      <c r="J11" s="51"/>
      <c r="K11">
        <v>22</v>
      </c>
    </row>
    <row r="12" spans="2:11" x14ac:dyDescent="0.25">
      <c r="B12" s="8"/>
      <c r="C12" s="30" t="s">
        <v>6</v>
      </c>
      <c r="E12" s="28" t="s">
        <v>26</v>
      </c>
      <c r="F12" s="29">
        <v>53.433999999999997</v>
      </c>
      <c r="G12" s="46" t="s">
        <v>53</v>
      </c>
      <c r="H12" s="28"/>
      <c r="I12" s="28" t="s">
        <v>61</v>
      </c>
      <c r="J12" s="31"/>
      <c r="K12">
        <v>22</v>
      </c>
    </row>
    <row r="13" spans="2:11" x14ac:dyDescent="0.25">
      <c r="B13" s="8"/>
      <c r="C13" s="30"/>
      <c r="E13" s="28"/>
      <c r="F13" s="28"/>
      <c r="G13" s="28"/>
      <c r="H13" s="28"/>
      <c r="I13" s="28"/>
      <c r="J13" s="31"/>
      <c r="K13">
        <v>22</v>
      </c>
    </row>
    <row r="14" spans="2:11" x14ac:dyDescent="0.25">
      <c r="B14" s="8"/>
      <c r="C14" t="s">
        <v>29</v>
      </c>
      <c r="D14" s="28"/>
      <c r="E14" s="28"/>
      <c r="F14" s="28"/>
      <c r="G14" s="28"/>
      <c r="H14" s="28"/>
      <c r="I14" s="28"/>
      <c r="J14" s="31"/>
      <c r="K14">
        <v>22</v>
      </c>
    </row>
    <row r="15" spans="2:11" x14ac:dyDescent="0.25">
      <c r="B15" s="8"/>
      <c r="C15" s="30" t="s">
        <v>3</v>
      </c>
      <c r="D15" s="28"/>
      <c r="E15" s="28" t="s">
        <v>68</v>
      </c>
      <c r="F15" s="56">
        <v>1980</v>
      </c>
      <c r="G15" s="46" t="s">
        <v>51</v>
      </c>
      <c r="H15" s="28"/>
      <c r="I15" s="28"/>
      <c r="J15" s="31"/>
      <c r="K15">
        <v>22</v>
      </c>
    </row>
    <row r="16" spans="2:11" x14ac:dyDescent="0.25">
      <c r="B16" s="8"/>
      <c r="C16" s="30"/>
      <c r="D16" s="32"/>
      <c r="E16" s="28"/>
      <c r="F16" s="29">
        <v>53.16</v>
      </c>
      <c r="G16" s="46" t="s">
        <v>53</v>
      </c>
      <c r="H16" s="28"/>
      <c r="I16" s="28"/>
      <c r="J16" s="31"/>
      <c r="K16">
        <v>22</v>
      </c>
    </row>
    <row r="17" spans="1:11" x14ac:dyDescent="0.25">
      <c r="B17" s="8"/>
      <c r="C17" s="47"/>
      <c r="D17" s="32"/>
      <c r="E17" s="28"/>
      <c r="F17" s="33"/>
      <c r="G17" s="34"/>
      <c r="H17" s="32"/>
      <c r="I17" s="32"/>
      <c r="J17" s="35"/>
      <c r="K17">
        <v>22</v>
      </c>
    </row>
    <row r="18" spans="1:11" x14ac:dyDescent="0.25">
      <c r="B18" s="8"/>
      <c r="C18" s="32"/>
      <c r="D18" s="32"/>
      <c r="E18" s="32"/>
      <c r="F18" s="32"/>
      <c r="G18" s="32"/>
      <c r="H18" s="32"/>
      <c r="I18" s="32"/>
      <c r="J18" s="35"/>
      <c r="K18">
        <v>22</v>
      </c>
    </row>
    <row r="19" spans="1:11" x14ac:dyDescent="0.25">
      <c r="B19" s="8"/>
      <c r="C19" s="1" t="s">
        <v>9</v>
      </c>
      <c r="D19" s="9"/>
      <c r="E19" s="9" t="s">
        <v>91</v>
      </c>
      <c r="F19" s="32"/>
      <c r="G19" s="32"/>
      <c r="H19" s="32"/>
      <c r="I19" s="32"/>
      <c r="J19" s="36">
        <v>200</v>
      </c>
      <c r="K19">
        <v>22</v>
      </c>
    </row>
    <row r="20" spans="1:11" x14ac:dyDescent="0.25">
      <c r="B20" s="8"/>
      <c r="D20" s="20"/>
      <c r="E20" s="48"/>
      <c r="F20" s="32"/>
      <c r="G20" s="32"/>
      <c r="H20" s="32"/>
      <c r="I20" s="32"/>
      <c r="J20" s="35"/>
      <c r="K20">
        <v>22</v>
      </c>
    </row>
    <row r="21" spans="1:11" ht="16.5" customHeight="1" x14ac:dyDescent="0.25">
      <c r="B21" s="44"/>
      <c r="C21" s="37"/>
      <c r="D21" s="37"/>
      <c r="E21" s="37"/>
      <c r="F21" s="37"/>
      <c r="G21" s="37"/>
      <c r="H21" s="37"/>
      <c r="I21" s="37"/>
      <c r="J21" s="38"/>
      <c r="K21">
        <v>22</v>
      </c>
    </row>
    <row r="22" spans="1:11" ht="30" customHeight="1" x14ac:dyDescent="0.25">
      <c r="H22"/>
      <c r="I22" s="40" t="s">
        <v>17</v>
      </c>
      <c r="J22" s="41">
        <v>200</v>
      </c>
      <c r="K22">
        <v>40</v>
      </c>
    </row>
    <row r="23" spans="1:11" ht="9.75" customHeight="1" x14ac:dyDescent="0.25">
      <c r="K23">
        <v>13</v>
      </c>
    </row>
    <row r="24" spans="1:11" ht="18" customHeight="1" x14ac:dyDescent="0.25">
      <c r="C24" s="18" t="s">
        <v>34</v>
      </c>
      <c r="D24" s="16"/>
      <c r="F24" s="19" t="s">
        <v>36</v>
      </c>
      <c r="G24" s="16"/>
      <c r="H24" s="18" t="s">
        <v>35</v>
      </c>
      <c r="J24" s="6" t="s">
        <v>21</v>
      </c>
      <c r="K24">
        <v>24</v>
      </c>
    </row>
    <row r="25" spans="1:11" ht="26.25" customHeight="1" x14ac:dyDescent="0.25">
      <c r="C25" s="5"/>
      <c r="D25" s="16"/>
      <c r="E25" s="7"/>
      <c r="F25" s="50" t="s">
        <v>55</v>
      </c>
      <c r="G25" s="16"/>
      <c r="H25" s="16"/>
      <c r="I25" s="16"/>
      <c r="J25" s="16"/>
      <c r="K25">
        <v>35</v>
      </c>
    </row>
    <row r="26" spans="1:11" ht="9.75" customHeight="1" x14ac:dyDescent="0.25">
      <c r="D26" s="16"/>
      <c r="E26" s="16"/>
      <c r="G26" s="16"/>
      <c r="H26" s="16"/>
      <c r="I26" s="16"/>
      <c r="J26" s="16"/>
      <c r="K26">
        <v>13</v>
      </c>
    </row>
    <row r="27" spans="1:11" ht="6" customHeight="1" x14ac:dyDescent="0.25">
      <c r="A27" s="27"/>
      <c r="B27" s="27"/>
      <c r="C27" s="26"/>
      <c r="D27" s="26"/>
      <c r="E27" s="26"/>
      <c r="F27" s="26"/>
      <c r="G27" s="26"/>
      <c r="H27" s="26"/>
      <c r="I27" s="26"/>
      <c r="J27" s="26"/>
      <c r="K27">
        <v>8</v>
      </c>
    </row>
    <row r="28" spans="1:11" ht="18" customHeight="1" x14ac:dyDescent="0.25">
      <c r="C28" s="16"/>
      <c r="D28" s="16"/>
      <c r="E28" s="16"/>
      <c r="F28" s="16"/>
      <c r="G28" s="16"/>
      <c r="H28" s="16"/>
      <c r="J28" s="16"/>
      <c r="K28">
        <v>24</v>
      </c>
    </row>
    <row r="29" spans="1:11" x14ac:dyDescent="0.25">
      <c r="C29" s="16"/>
      <c r="D29" s="16"/>
      <c r="E29" s="16"/>
      <c r="F29" s="16"/>
      <c r="G29" s="16"/>
      <c r="H29" s="16"/>
      <c r="I29" s="16"/>
      <c r="J29" s="16"/>
      <c r="K29">
        <v>22</v>
      </c>
    </row>
    <row r="30" spans="1:11" ht="19.5" x14ac:dyDescent="0.25">
      <c r="C30" s="16"/>
      <c r="D30" s="16"/>
      <c r="E30" s="16"/>
      <c r="F30" s="16"/>
      <c r="G30" s="16"/>
      <c r="H30" s="16"/>
      <c r="I30" s="16"/>
      <c r="J30" s="22"/>
      <c r="K30">
        <v>26</v>
      </c>
    </row>
    <row r="31" spans="1:11" ht="23.25" customHeight="1" x14ac:dyDescent="0.25">
      <c r="J31" s="23" t="s">
        <v>59</v>
      </c>
      <c r="K31">
        <v>31</v>
      </c>
    </row>
    <row r="32" spans="1:11" ht="18" customHeight="1" x14ac:dyDescent="0.25">
      <c r="J32" s="24" t="s">
        <v>77</v>
      </c>
      <c r="K32">
        <v>24</v>
      </c>
    </row>
    <row r="33" spans="2:11" ht="17.25" customHeight="1" x14ac:dyDescent="0.25">
      <c r="C33" s="4" t="s">
        <v>18</v>
      </c>
      <c r="F33" s="20" t="s">
        <v>89</v>
      </c>
      <c r="I33" s="15" t="s">
        <v>19</v>
      </c>
      <c r="J33" s="52">
        <v>46175</v>
      </c>
      <c r="K33">
        <v>23</v>
      </c>
    </row>
    <row r="34" spans="2:11" ht="8.25" customHeight="1" x14ac:dyDescent="0.25">
      <c r="K34">
        <v>11</v>
      </c>
    </row>
    <row r="35" spans="2:11" ht="18" customHeight="1" x14ac:dyDescent="0.25">
      <c r="B35" s="42"/>
      <c r="C35" s="2" t="s">
        <v>0</v>
      </c>
      <c r="D35" s="2"/>
      <c r="E35" s="2" t="s">
        <v>23</v>
      </c>
      <c r="F35" s="61" t="s">
        <v>1</v>
      </c>
      <c r="G35" s="61"/>
      <c r="H35" s="2" t="s">
        <v>13</v>
      </c>
      <c r="I35" s="43" t="s">
        <v>2</v>
      </c>
      <c r="J35" s="12" t="s">
        <v>15</v>
      </c>
      <c r="K35">
        <v>24</v>
      </c>
    </row>
    <row r="36" spans="2:11" ht="18" customHeight="1" x14ac:dyDescent="0.25">
      <c r="B36" s="44"/>
      <c r="C36" s="3" t="s">
        <v>10</v>
      </c>
      <c r="D36" s="3"/>
      <c r="E36" s="3" t="s">
        <v>24</v>
      </c>
      <c r="F36" s="62" t="s">
        <v>11</v>
      </c>
      <c r="G36" s="62"/>
      <c r="H36" s="3" t="s">
        <v>12</v>
      </c>
      <c r="I36" s="45" t="s">
        <v>14</v>
      </c>
      <c r="J36" s="13" t="s">
        <v>16</v>
      </c>
      <c r="K36">
        <v>24</v>
      </c>
    </row>
    <row r="37" spans="2:11" ht="8.25" customHeight="1" x14ac:dyDescent="0.25">
      <c r="B37" s="8"/>
      <c r="J37" s="12"/>
      <c r="K37">
        <v>11</v>
      </c>
    </row>
    <row r="38" spans="2:11" x14ac:dyDescent="0.25">
      <c r="B38" s="8"/>
      <c r="C38" s="30" t="s">
        <v>5</v>
      </c>
      <c r="E38" s="28">
        <v>9.9969999999999999</v>
      </c>
      <c r="F38" s="56">
        <v>2000</v>
      </c>
      <c r="G38" s="46" t="s">
        <v>51</v>
      </c>
      <c r="H38" s="28"/>
      <c r="I38" s="28" t="s">
        <v>66</v>
      </c>
      <c r="J38" s="31"/>
      <c r="K38">
        <v>22</v>
      </c>
    </row>
    <row r="39" spans="2:11" x14ac:dyDescent="0.25">
      <c r="B39" s="8"/>
      <c r="C39" s="30" t="s">
        <v>6</v>
      </c>
      <c r="E39" s="28" t="s">
        <v>26</v>
      </c>
      <c r="F39" s="29">
        <v>53.433999999999997</v>
      </c>
      <c r="G39" s="46" t="s">
        <v>53</v>
      </c>
      <c r="H39" s="30"/>
      <c r="I39" s="28" t="s">
        <v>61</v>
      </c>
      <c r="J39" s="31"/>
      <c r="K39">
        <v>22</v>
      </c>
    </row>
    <row r="40" spans="2:11" x14ac:dyDescent="0.25">
      <c r="B40" s="8"/>
      <c r="C40" s="30"/>
      <c r="E40" s="28"/>
      <c r="F40" s="28"/>
      <c r="G40" s="28"/>
      <c r="H40" s="28"/>
      <c r="I40" s="28"/>
      <c r="J40" s="31"/>
      <c r="K40">
        <v>22</v>
      </c>
    </row>
    <row r="41" spans="2:11" x14ac:dyDescent="0.25">
      <c r="B41" s="8"/>
      <c r="C41" t="s">
        <v>29</v>
      </c>
      <c r="D41" s="28"/>
      <c r="E41" s="28"/>
      <c r="F41" s="28"/>
      <c r="G41" s="28"/>
      <c r="H41" s="28"/>
      <c r="I41" s="28"/>
      <c r="J41" s="31"/>
      <c r="K41">
        <v>22</v>
      </c>
    </row>
    <row r="42" spans="2:11" x14ac:dyDescent="0.25">
      <c r="B42" s="8"/>
      <c r="C42" s="30" t="s">
        <v>3</v>
      </c>
      <c r="D42" s="28"/>
      <c r="E42" s="28" t="s">
        <v>68</v>
      </c>
      <c r="F42" s="56">
        <v>1980</v>
      </c>
      <c r="G42" s="46" t="s">
        <v>51</v>
      </c>
      <c r="H42" s="28" t="s">
        <v>31</v>
      </c>
      <c r="I42" s="28"/>
      <c r="J42" s="31"/>
      <c r="K42">
        <v>22</v>
      </c>
    </row>
    <row r="43" spans="2:11" x14ac:dyDescent="0.25">
      <c r="B43" s="8"/>
      <c r="C43" s="30"/>
      <c r="D43" s="32"/>
      <c r="E43" s="28"/>
      <c r="F43" s="29">
        <v>52.9</v>
      </c>
      <c r="G43" s="46" t="s">
        <v>53</v>
      </c>
      <c r="H43" s="28" t="s">
        <v>87</v>
      </c>
      <c r="I43" s="28"/>
      <c r="J43" s="31"/>
      <c r="K43">
        <v>22</v>
      </c>
    </row>
    <row r="44" spans="2:11" x14ac:dyDescent="0.25">
      <c r="B44" s="8"/>
      <c r="C44" s="47"/>
      <c r="D44" s="32"/>
      <c r="E44" s="28"/>
      <c r="F44" s="33"/>
      <c r="G44" s="34"/>
      <c r="H44" s="32"/>
      <c r="I44" s="32"/>
      <c r="J44" s="35"/>
      <c r="K44">
        <v>22</v>
      </c>
    </row>
    <row r="45" spans="2:11" ht="18.75" customHeight="1" x14ac:dyDescent="0.25">
      <c r="B45" s="8"/>
      <c r="C45" s="32"/>
      <c r="D45" s="32"/>
      <c r="E45" s="32"/>
      <c r="F45" s="32"/>
      <c r="G45" s="32"/>
      <c r="H45" s="32"/>
      <c r="I45" s="32"/>
      <c r="J45" s="35"/>
      <c r="K45">
        <v>22</v>
      </c>
    </row>
    <row r="46" spans="2:11" x14ac:dyDescent="0.25">
      <c r="B46" s="8"/>
      <c r="C46" s="1" t="s">
        <v>9</v>
      </c>
      <c r="D46" s="9"/>
      <c r="E46" s="9" t="s">
        <v>91</v>
      </c>
      <c r="F46" s="32"/>
      <c r="G46" s="32"/>
      <c r="H46" s="32"/>
      <c r="I46" s="32"/>
      <c r="J46" s="36">
        <v>200</v>
      </c>
      <c r="K46">
        <v>22</v>
      </c>
    </row>
    <row r="47" spans="2:11" x14ac:dyDescent="0.25">
      <c r="B47" s="8"/>
      <c r="D47" s="20"/>
      <c r="E47" s="30"/>
      <c r="F47" s="32"/>
      <c r="G47" s="32"/>
      <c r="H47" s="32"/>
      <c r="I47" s="32"/>
      <c r="J47" s="35"/>
      <c r="K47">
        <v>22</v>
      </c>
    </row>
    <row r="48" spans="2:11" ht="16.5" customHeight="1" x14ac:dyDescent="0.25">
      <c r="B48" s="44"/>
      <c r="C48" s="37"/>
      <c r="D48" s="37"/>
      <c r="E48" s="37"/>
      <c r="F48" s="37"/>
      <c r="G48" s="37"/>
      <c r="H48" s="37"/>
      <c r="I48" s="37"/>
      <c r="J48" s="38"/>
      <c r="K48">
        <v>22</v>
      </c>
    </row>
    <row r="49" spans="1:11" ht="30" customHeight="1" x14ac:dyDescent="0.25">
      <c r="H49"/>
      <c r="I49" s="39" t="s">
        <v>17</v>
      </c>
      <c r="J49" s="41">
        <v>200</v>
      </c>
      <c r="K49">
        <v>40</v>
      </c>
    </row>
    <row r="50" spans="1:11" ht="10.5" customHeight="1" x14ac:dyDescent="0.25">
      <c r="K50">
        <v>14</v>
      </c>
    </row>
    <row r="51" spans="1:11" ht="15.75" customHeight="1" x14ac:dyDescent="0.25">
      <c r="C51" s="18" t="s">
        <v>34</v>
      </c>
      <c r="D51" s="16"/>
      <c r="F51" s="19" t="s">
        <v>36</v>
      </c>
      <c r="G51" s="16"/>
      <c r="H51" s="18" t="s">
        <v>35</v>
      </c>
      <c r="J51" s="6" t="s">
        <v>22</v>
      </c>
      <c r="K51">
        <v>21</v>
      </c>
    </row>
    <row r="52" spans="1:11" ht="18" customHeight="1" x14ac:dyDescent="0.25">
      <c r="C52" s="5"/>
      <c r="D52" s="17"/>
      <c r="E52" s="5"/>
      <c r="F52" s="14" t="s">
        <v>55</v>
      </c>
      <c r="G52" s="16"/>
      <c r="H52" s="16"/>
      <c r="J52" s="16"/>
      <c r="K52">
        <v>24</v>
      </c>
    </row>
    <row r="53" spans="1:11" ht="4.5" customHeight="1" x14ac:dyDescent="0.25">
      <c r="D53" s="16"/>
      <c r="E53" s="26"/>
      <c r="F53" s="3"/>
      <c r="G53" s="16"/>
      <c r="H53" s="26"/>
      <c r="I53" s="26"/>
      <c r="J53" s="16"/>
      <c r="K53">
        <v>6</v>
      </c>
    </row>
    <row r="55" spans="1:11" x14ac:dyDescent="0.25">
      <c r="K55" s="58"/>
    </row>
    <row r="56" spans="1:11" s="58" customFormat="1" x14ac:dyDescent="0.25">
      <c r="A56" s="58">
        <v>20</v>
      </c>
      <c r="B56" s="58">
        <v>17</v>
      </c>
      <c r="C56" s="59">
        <v>122</v>
      </c>
      <c r="D56" s="60">
        <v>10</v>
      </c>
      <c r="E56" s="59">
        <v>58</v>
      </c>
      <c r="F56" s="59">
        <v>104</v>
      </c>
      <c r="G56" s="59">
        <v>62</v>
      </c>
      <c r="H56" s="59">
        <v>93</v>
      </c>
      <c r="I56" s="59">
        <v>144</v>
      </c>
      <c r="J56" s="59">
        <v>153</v>
      </c>
      <c r="K56"/>
    </row>
  </sheetData>
  <sheetProtection algorithmName="SHA-512" hashValue="++kTbKmDXImRDehqRAo/5xtIwBN+1FZl7R8UuTPnq7QIn/lsR+UlGUUSo8yia35QoG5nin1prV8hnNKnaf3Ymg==" saltValue="ZriTFVdazxpvNNKf/GVE5g==" spinCount="100000" sheet="1" objects="1" scenarios="1"/>
  <mergeCells count="4">
    <mergeCell ref="F8:G8"/>
    <mergeCell ref="F9:G9"/>
    <mergeCell ref="F35:G35"/>
    <mergeCell ref="F36:G36"/>
  </mergeCells>
  <phoneticPr fontId="2" type="noConversion"/>
  <pageMargins left="0" right="0" top="0" bottom="0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銷售(保護) (2)</vt:lpstr>
      <vt:lpstr>銷售(保護)</vt:lpstr>
      <vt:lpstr>購入單(保護)</vt:lpstr>
      <vt:lpstr>兌料單(保護)</vt:lpstr>
      <vt:lpstr>交收單(保護)收料</vt:lpstr>
      <vt:lpstr>交收單(保護)去料</vt:lpstr>
      <vt:lpstr>交收單(保護)去料 (2)</vt:lpstr>
      <vt:lpstr>交收單(保護)回料</vt:lpstr>
      <vt:lpstr>交收單(保護)回料 (2)</vt:lpstr>
      <vt:lpstr>提純後向客兌料單(保護) </vt:lpstr>
      <vt:lpstr>提純後向客兌料單(保護)  (2)</vt:lpstr>
      <vt:lpstr>兌料單(保護)2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2026-06-04T02:10:44Z</cp:lastPrinted>
  <dcterms:created xsi:type="dcterms:W3CDTF">2026-05-21T11:40:04Z</dcterms:created>
  <dcterms:modified xsi:type="dcterms:W3CDTF">2026-06-04T02:25:58Z</dcterms:modified>
</cp:coreProperties>
</file>